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ju\Documents\Assignments\"/>
    </mc:Choice>
  </mc:AlternateContent>
  <xr:revisionPtr revIDLastSave="0" documentId="13_ncr:1_{21263F0A-C815-4D0D-A647-947450D404EC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Master Data" sheetId="1" r:id="rId1"/>
    <sheet name="VLOOKUP" sheetId="2" r:id="rId2"/>
    <sheet name="Delimited" sheetId="3" r:id="rId3"/>
    <sheet name="CONCATENATE" sheetId="4" r:id="rId4"/>
    <sheet name="Pivot" sheetId="5" r:id="rId5"/>
    <sheet name="Sub Total" sheetId="6" r:id="rId6"/>
    <sheet name="Chart" sheetId="7" r:id="rId7"/>
  </sheets>
  <definedNames>
    <definedName name="_xlnm._FilterDatabase" localSheetId="5" hidden="1">'Sub Total'!$B$1:$B$113</definedName>
  </definedNames>
  <calcPr calcId="191029"/>
  <pivotCaches>
    <pivotCache cacheId="0" r:id="rId8"/>
    <pivotCache cacheId="13" r:id="rId9"/>
  </pivotCaches>
  <fileRecoveryPr repairLoad="1"/>
</workbook>
</file>

<file path=xl/calcChain.xml><?xml version="1.0" encoding="utf-8"?>
<calcChain xmlns="http://schemas.openxmlformats.org/spreadsheetml/2006/main">
  <c r="G111" i="6" l="1"/>
  <c r="F111" i="6"/>
  <c r="G109" i="6"/>
  <c r="F109" i="6"/>
  <c r="G97" i="6"/>
  <c r="F97" i="6"/>
  <c r="G91" i="6"/>
  <c r="F91" i="6"/>
  <c r="G87" i="6"/>
  <c r="F87" i="6"/>
  <c r="G74" i="6"/>
  <c r="F74" i="6"/>
  <c r="G63" i="6"/>
  <c r="F63" i="6"/>
  <c r="G52" i="6"/>
  <c r="F52" i="6"/>
  <c r="G36" i="6"/>
  <c r="F36" i="6"/>
  <c r="G24" i="6"/>
  <c r="F24" i="6"/>
  <c r="G8" i="6"/>
  <c r="F8" i="6"/>
  <c r="G112" i="6" l="1"/>
  <c r="F11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" i="4"/>
  <c r="H3" i="2"/>
  <c r="H4" i="2"/>
  <c r="H5" i="2"/>
  <c r="H6" i="2"/>
  <c r="H7" i="2"/>
  <c r="H8" i="2"/>
  <c r="H9" i="2"/>
  <c r="H2" i="2"/>
  <c r="G2" i="2"/>
  <c r="G3" i="2"/>
  <c r="G4" i="2"/>
  <c r="G5" i="2"/>
  <c r="G6" i="2"/>
  <c r="G7" i="2"/>
  <c r="G8" i="2"/>
  <c r="G9" i="2"/>
  <c r="E9" i="2"/>
  <c r="D9" i="2"/>
  <c r="B9" i="2"/>
  <c r="A9" i="2"/>
  <c r="E8" i="2"/>
  <c r="D8" i="2"/>
  <c r="B8" i="2"/>
  <c r="A8" i="2"/>
  <c r="E7" i="2"/>
  <c r="D7" i="2"/>
  <c r="B7" i="2"/>
  <c r="A7" i="2"/>
  <c r="E6" i="2"/>
  <c r="D6" i="2"/>
  <c r="B6" i="2"/>
  <c r="A6" i="2"/>
  <c r="E5" i="2"/>
  <c r="D5" i="2"/>
  <c r="B5" i="2"/>
  <c r="A5" i="2"/>
  <c r="E4" i="2"/>
  <c r="D4" i="2"/>
  <c r="B4" i="2"/>
  <c r="A4" i="2"/>
  <c r="E3" i="2"/>
  <c r="D3" i="2"/>
  <c r="B3" i="2"/>
  <c r="A3" i="2"/>
  <c r="E2" i="2"/>
  <c r="D2" i="2"/>
  <c r="B2" i="2"/>
  <c r="A2" i="2"/>
</calcChain>
</file>

<file path=xl/sharedStrings.xml><?xml version="1.0" encoding="utf-8"?>
<sst xmlns="http://schemas.openxmlformats.org/spreadsheetml/2006/main" count="1032" uniqueCount="206">
  <si>
    <t>ZC Invoice Num</t>
  </si>
  <si>
    <t>Customer Nbr</t>
  </si>
  <si>
    <t>Employee</t>
  </si>
  <si>
    <t>Inv Date</t>
  </si>
  <si>
    <t>TS End</t>
  </si>
  <si>
    <t>Total Outstanding</t>
  </si>
  <si>
    <t>Invoice Amount</t>
  </si>
  <si>
    <t>ZNWT05815859</t>
  </si>
  <si>
    <t>Wolters Kluwer ZCR- Kelly APC2</t>
  </si>
  <si>
    <t>Adams,Celeste</t>
  </si>
  <si>
    <t>ZNWT05837260</t>
  </si>
  <si>
    <t>ZNWT05867268</t>
  </si>
  <si>
    <t>ZNWT05882338</t>
  </si>
  <si>
    <t>ZNWT06254381</t>
  </si>
  <si>
    <t>ZNWT06267795</t>
  </si>
  <si>
    <t>ZNWT05614858</t>
  </si>
  <si>
    <t>Allison,Stephanie</t>
  </si>
  <si>
    <t>ZNWT05639677</t>
  </si>
  <si>
    <t>ZNWT05663233</t>
  </si>
  <si>
    <t>ZNWT05685666</t>
  </si>
  <si>
    <t>ZNWT05705837</t>
  </si>
  <si>
    <t>ZNWT05726413</t>
  </si>
  <si>
    <t>ZNWT05748250</t>
  </si>
  <si>
    <t>ZNWT05769700</t>
  </si>
  <si>
    <t>ZNWT05791605</t>
  </si>
  <si>
    <t>ZNWT05815817</t>
  </si>
  <si>
    <t>ZNWT05837238</t>
  </si>
  <si>
    <t>ZNWT05859737</t>
  </si>
  <si>
    <t>ZNWT05882477</t>
  </si>
  <si>
    <t>ZNWT06246599</t>
  </si>
  <si>
    <t>ZNWT06267805</t>
  </si>
  <si>
    <t>ZNWT05615002</t>
  </si>
  <si>
    <t>Alvarez,Jennifer</t>
  </si>
  <si>
    <t>ZNWT05639579</t>
  </si>
  <si>
    <t>ZNWT05705703</t>
  </si>
  <si>
    <t>ZNWT05769747</t>
  </si>
  <si>
    <t>ZNWT05791629</t>
  </si>
  <si>
    <t>ZNWT05823513</t>
  </si>
  <si>
    <t>ZNWT05837200</t>
  </si>
  <si>
    <t>ZNWT05867264</t>
  </si>
  <si>
    <t>ZNWT05882455</t>
  </si>
  <si>
    <t>ZNWT05892571</t>
  </si>
  <si>
    <t>ZNWT06267736</t>
  </si>
  <si>
    <t>ZNWT05557012</t>
  </si>
  <si>
    <t>Alvord,Maria</t>
  </si>
  <si>
    <t>ZNWT05614847</t>
  </si>
  <si>
    <t>ZNWT05614936</t>
  </si>
  <si>
    <t>ZNWT05639716</t>
  </si>
  <si>
    <t>ZNWT05705808</t>
  </si>
  <si>
    <t>ZNWT05705704</t>
  </si>
  <si>
    <t>ZNWT05769586</t>
  </si>
  <si>
    <t>ZNWT05791562</t>
  </si>
  <si>
    <t>ZNWT05791717</t>
  </si>
  <si>
    <t>ZNWT05837168</t>
  </si>
  <si>
    <t>ZNWT05837306</t>
  </si>
  <si>
    <t>ZNWT05867243</t>
  </si>
  <si>
    <t>ZNWT06246568</t>
  </si>
  <si>
    <t>ZNWT06246667</t>
  </si>
  <si>
    <t>ZNWT06267812</t>
  </si>
  <si>
    <t>ZNWT04993484</t>
  </si>
  <si>
    <t>Anderson,Daniel</t>
  </si>
  <si>
    <t>ZNWT05011433</t>
  </si>
  <si>
    <t>ZNWT05032377</t>
  </si>
  <si>
    <t>ZNWT05052243</t>
  </si>
  <si>
    <t>ZNWT05204198</t>
  </si>
  <si>
    <t>ZNWT05222573</t>
  </si>
  <si>
    <t>ZNWT05240426</t>
  </si>
  <si>
    <t>ZNWE00359228</t>
  </si>
  <si>
    <t>ZNWE00365239</t>
  </si>
  <si>
    <t>ZNWE00366081</t>
  </si>
  <si>
    <t>ZNWT05222590</t>
  </si>
  <si>
    <t>Andos III,Nicholas</t>
  </si>
  <si>
    <t>ZNWT05240471</t>
  </si>
  <si>
    <t>ZNWT05258530</t>
  </si>
  <si>
    <t>ZNWT05769720</t>
  </si>
  <si>
    <t>ZNWT05791597</t>
  </si>
  <si>
    <t>ZNWT05815870</t>
  </si>
  <si>
    <t>ZNWT05837282</t>
  </si>
  <si>
    <t>ZNWT05859728</t>
  </si>
  <si>
    <t>ZNWT05882433</t>
  </si>
  <si>
    <t>ZNWT06267669</t>
  </si>
  <si>
    <t>ZNWT05595686</t>
  </si>
  <si>
    <t>Andrews,Laura</t>
  </si>
  <si>
    <t>ZNWT05614873</t>
  </si>
  <si>
    <t>ZNWT05639633</t>
  </si>
  <si>
    <t>ZNWT05705786</t>
  </si>
  <si>
    <t>ZNWT05769615</t>
  </si>
  <si>
    <t>ZNWT05791624</t>
  </si>
  <si>
    <t>ZNWT05815801</t>
  </si>
  <si>
    <t>ZNWT05837188</t>
  </si>
  <si>
    <t>ZNWT05859754</t>
  </si>
  <si>
    <t>ZNWT05882317</t>
  </si>
  <si>
    <t>ZNWT06254363</t>
  </si>
  <si>
    <t>ZNWT06267730</t>
  </si>
  <si>
    <t>ZNWT05204231</t>
  </si>
  <si>
    <t>Ankrah,Michelle</t>
  </si>
  <si>
    <t>ZNWT05222521</t>
  </si>
  <si>
    <t>ZNWT05240510</t>
  </si>
  <si>
    <t>ZNWT05837162</t>
  </si>
  <si>
    <t>Archuleta,Jennifer</t>
  </si>
  <si>
    <t>ZNWT05859840</t>
  </si>
  <si>
    <t>ZNWT05882448</t>
  </si>
  <si>
    <t>ZNWT06246676</t>
  </si>
  <si>
    <t>ZNWT06267843</t>
  </si>
  <si>
    <t>ZNWT05576293</t>
  </si>
  <si>
    <t>Arden,Sally</t>
  </si>
  <si>
    <t>ZNWT05595685</t>
  </si>
  <si>
    <t>ZNWT05705852</t>
  </si>
  <si>
    <t>ZNWT05726514</t>
  </si>
  <si>
    <t>ZNWT05748229</t>
  </si>
  <si>
    <t>ZNWT05791570</t>
  </si>
  <si>
    <t>ZNWT05791706</t>
  </si>
  <si>
    <t>ZNWT05815876</t>
  </si>
  <si>
    <t>ZNWT05882293</t>
  </si>
  <si>
    <t>ZNWT05882392</t>
  </si>
  <si>
    <t>ZNWT06246675</t>
  </si>
  <si>
    <t>ZNWT05058404</t>
  </si>
  <si>
    <t>Ashby,Susan</t>
  </si>
  <si>
    <t>Consolidated Invoice</t>
  </si>
  <si>
    <t>(Leave Blank if not given in Master Data)</t>
  </si>
  <si>
    <t>Instruction</t>
  </si>
  <si>
    <t>Pull required data from Master Data tab using Vlookup for below Invoices</t>
  </si>
  <si>
    <t>Allison,Daniel</t>
  </si>
  <si>
    <t>Separate Employee name using "Delimited"</t>
  </si>
  <si>
    <t>Alvarez,Mukhai</t>
  </si>
  <si>
    <t>Alvord,Jennifer</t>
  </si>
  <si>
    <t xml:space="preserve">Output </t>
  </si>
  <si>
    <t>Anderson,Laura</t>
  </si>
  <si>
    <t>First Name</t>
  </si>
  <si>
    <t>Last Name</t>
  </si>
  <si>
    <t>Andos,Maria</t>
  </si>
  <si>
    <t>Adams</t>
  </si>
  <si>
    <t>Celeste</t>
  </si>
  <si>
    <t>Andrews,Michelle</t>
  </si>
  <si>
    <t>Ankrah,Sally</t>
  </si>
  <si>
    <t>Archuleta,Stephanie</t>
  </si>
  <si>
    <t>Arden,Susan</t>
  </si>
  <si>
    <t>Ashby,Ankrah</t>
  </si>
  <si>
    <t>Adams,Daniel</t>
  </si>
  <si>
    <t>Allison,Mukhai</t>
  </si>
  <si>
    <t>Alvord,Laura</t>
  </si>
  <si>
    <t>Anderson,Maria</t>
  </si>
  <si>
    <t>Andos,Michelle</t>
  </si>
  <si>
    <t>Andrews,Sally</t>
  </si>
  <si>
    <t>Ankrah,Stephanie</t>
  </si>
  <si>
    <t>Archuleta,Susan</t>
  </si>
  <si>
    <t>Arden,Ankrah</t>
  </si>
  <si>
    <t>Daniel,Adams</t>
  </si>
  <si>
    <t>Mukhai,Allison</t>
  </si>
  <si>
    <t>Jennifer,Alvarez</t>
  </si>
  <si>
    <t>Laura,Alvord</t>
  </si>
  <si>
    <t>Maria,Anderson</t>
  </si>
  <si>
    <t>Michelle,Andos</t>
  </si>
  <si>
    <t>Sally,Andrews</t>
  </si>
  <si>
    <t>Stephanie,Ankrah</t>
  </si>
  <si>
    <t>Susan,Archuleta</t>
  </si>
  <si>
    <t>Ankrah,Arden</t>
  </si>
  <si>
    <t>Alvord</t>
  </si>
  <si>
    <t>Allison</t>
  </si>
  <si>
    <t>Merge Employee name using "CONCATENATE" method</t>
  </si>
  <si>
    <t>Alvarez</t>
  </si>
  <si>
    <t>Daniel</t>
  </si>
  <si>
    <t>Jennifer</t>
  </si>
  <si>
    <t>Output</t>
  </si>
  <si>
    <t>Anderson</t>
  </si>
  <si>
    <t>Laura</t>
  </si>
  <si>
    <t>Andos III</t>
  </si>
  <si>
    <t>Maria</t>
  </si>
  <si>
    <t>Andrews</t>
  </si>
  <si>
    <t>Michelle</t>
  </si>
  <si>
    <t>Ankrah</t>
  </si>
  <si>
    <t>Nicholas</t>
  </si>
  <si>
    <t>Archuleta</t>
  </si>
  <si>
    <t>Sally</t>
  </si>
  <si>
    <t>Arden</t>
  </si>
  <si>
    <t>Stephanie</t>
  </si>
  <si>
    <t>Ashby</t>
  </si>
  <si>
    <t>Susan</t>
  </si>
  <si>
    <t>find Duplicate value using Pivot Tab</t>
  </si>
  <si>
    <t>Create a sub total of total Outstanding and Invoice Amount for  each Employee Name in this tab</t>
  </si>
  <si>
    <t>Adams,Alvord</t>
  </si>
  <si>
    <t>Jitendra,Chauhan</t>
  </si>
  <si>
    <t>Arden,Stephanie</t>
  </si>
  <si>
    <t>Please create Chart as per below</t>
  </si>
  <si>
    <t>Mukhai</t>
  </si>
  <si>
    <t>Andos</t>
  </si>
  <si>
    <t>Concat</t>
  </si>
  <si>
    <t>TextJoin</t>
  </si>
  <si>
    <t>Grand Total</t>
  </si>
  <si>
    <t>Count of ZC Invoice Num</t>
  </si>
  <si>
    <t>Ashby,Susan Total</t>
  </si>
  <si>
    <t>Arden,Sally Total</t>
  </si>
  <si>
    <t>Archuleta,Jennifer Total</t>
  </si>
  <si>
    <t>Ankrah,Michelle Total</t>
  </si>
  <si>
    <t>Andrews,Laura Total</t>
  </si>
  <si>
    <t>Andos III,Nicholas Total</t>
  </si>
  <si>
    <t>Anderson,Daniel Total</t>
  </si>
  <si>
    <t>Alvord,Maria Total</t>
  </si>
  <si>
    <t>Alvarez,Jennifer Total</t>
  </si>
  <si>
    <t>Allison,Stephanie Total</t>
  </si>
  <si>
    <t>Adams,Celeste Total</t>
  </si>
  <si>
    <t>Sum of 2014</t>
  </si>
  <si>
    <t>Sum of 2015</t>
  </si>
  <si>
    <t>Sum of 2016</t>
  </si>
  <si>
    <t>Sum of 2017</t>
  </si>
  <si>
    <t>Sum of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</si>
</sst>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mm/dd/yy;@"/>
    <numFmt numFmtId="165" formatCode="yyyy/mm/dd;@"/>
  </numFmts>
  <fonts count="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0" fontId="0" fillId="2" borderId="0" xfId="0" applyFill="1"/>
    <xf numFmtId="0" fontId="4" fillId="0" borderId="0" xfId="0" applyFont="1"/>
    <xf numFmtId="164" fontId="2" fillId="0" borderId="0" xfId="0" applyNumberFormat="1" applyFont="1"/>
    <xf numFmtId="4" fontId="2" fillId="0" borderId="0" xfId="1" applyNumberFormat="1" applyFont="1" applyFill="1" applyBorder="1" applyAlignment="1">
      <alignment horizontal="right"/>
    </xf>
    <xf numFmtId="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left" vertical="top"/>
    </xf>
    <xf numFmtId="0" fontId="4" fillId="2" borderId="0" xfId="0" applyFont="1" applyFill="1"/>
    <xf numFmtId="165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2" fontId="2" fillId="0" borderId="0" xfId="1" applyNumberFormat="1" applyFont="1" applyFill="1" applyBorder="1" applyAlignment="1">
      <alignment horizontal="right"/>
    </xf>
    <xf numFmtId="2" fontId="5" fillId="0" borderId="0" xfId="0" applyNumberFormat="1" applyFont="1" applyAlignment="1">
      <alignment horizontal="right" vertical="top"/>
    </xf>
    <xf numFmtId="0" fontId="0" fillId="3" borderId="0" xfId="0" applyFill="1" applyAlignment="1">
      <alignment wrapText="1"/>
    </xf>
    <xf numFmtId="0" fontId="1" fillId="0" borderId="0" xfId="0" applyFont="1"/>
    <xf numFmtId="0" fontId="0" fillId="0" borderId="0" xfId="0" pivotButton="1"/>
    <xf numFmtId="0" fontId="0" fillId="4" borderId="0" xfId="0" applyFill="1"/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4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[ExcelTask.xlsx]Chart!PivotTable3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Zerochaos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54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Chart!$J$1</c:f>
              <c:strCache>
                <c:ptCount val="1"/>
                <c:pt idx="0">
                  <c:v>Sum of 2014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712-4A5E-95B2-1421A2E678A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12-4A5E-95B2-1421A2E678A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712-4A5E-95B2-1421A2E678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Chart!$I$2:$I$5</c:f>
              <c:strCache>
                <c:ptCount val="3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</c:strCache>
            </c:strRef>
          </c:cat>
          <c:val>
            <c:numRef>
              <c:f>Chart!$J$2:$J$5</c:f>
              <c:numCache>
                <c:formatCode>#,##0.00</c:formatCode>
                <c:ptCount val="3"/>
                <c:pt idx="0">
                  <c:v>112.2</c:v>
                </c:pt>
                <c:pt idx="1">
                  <c:v>56.1</c:v>
                </c:pt>
                <c:pt idx="2">
                  <c:v>192.08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2-4A5E-95B2-1421A2E678A8}"/>
            </c:ext>
          </c:extLst>
        </c:ser>
        <c:ser>
          <c:idx val="1"/>
          <c:order val="1"/>
          <c:tx>
            <c:strRef>
              <c:f>Chart!$K$1</c:f>
              <c:strCache>
                <c:ptCount val="1"/>
                <c:pt idx="0">
                  <c:v>Sum of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Chart!$I$2:$I$5</c:f>
              <c:strCache>
                <c:ptCount val="3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</c:strCache>
            </c:strRef>
          </c:cat>
          <c:val>
            <c:numRef>
              <c:f>Chart!$K$2:$K$5</c:f>
              <c:numCache>
                <c:formatCode>General</c:formatCode>
                <c:ptCount val="3"/>
                <c:pt idx="0">
                  <c:v>148.38</c:v>
                </c:pt>
                <c:pt idx="1">
                  <c:v>270.95</c:v>
                </c:pt>
                <c:pt idx="2">
                  <c:v>204.88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2-4A5E-95B2-1421A2E678A8}"/>
            </c:ext>
          </c:extLst>
        </c:ser>
        <c:ser>
          <c:idx val="2"/>
          <c:order val="2"/>
          <c:tx>
            <c:strRef>
              <c:f>Chart!$L$1</c:f>
              <c:strCache>
                <c:ptCount val="1"/>
                <c:pt idx="0">
                  <c:v>Sum of 2016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Chart!$I$2:$I$5</c:f>
              <c:strCache>
                <c:ptCount val="3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</c:strCache>
            </c:strRef>
          </c:cat>
          <c:val>
            <c:numRef>
              <c:f>Chart!$L$2:$L$5</c:f>
              <c:numCache>
                <c:formatCode>General</c:formatCode>
                <c:ptCount val="3"/>
                <c:pt idx="0">
                  <c:v>129.03</c:v>
                </c:pt>
                <c:pt idx="1">
                  <c:v>64.52</c:v>
                </c:pt>
                <c:pt idx="2">
                  <c:v>220.89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2-4A5E-95B2-1421A2E678A8}"/>
            </c:ext>
          </c:extLst>
        </c:ser>
        <c:ser>
          <c:idx val="3"/>
          <c:order val="3"/>
          <c:tx>
            <c:strRef>
              <c:f>Chart!$M$1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Chart!$I$2:$I$5</c:f>
              <c:strCache>
                <c:ptCount val="3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</c:strCache>
            </c:strRef>
          </c:cat>
          <c:val>
            <c:numRef>
              <c:f>Chart!$M$2:$M$5</c:f>
              <c:numCache>
                <c:formatCode>General</c:formatCode>
                <c:ptCount val="3"/>
                <c:pt idx="0">
                  <c:v>148.38</c:v>
                </c:pt>
                <c:pt idx="1">
                  <c:v>74.19</c:v>
                </c:pt>
                <c:pt idx="2">
                  <c:v>254.03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12-4A5E-95B2-1421A2E678A8}"/>
            </c:ext>
          </c:extLst>
        </c:ser>
        <c:ser>
          <c:idx val="4"/>
          <c:order val="4"/>
          <c:tx>
            <c:strRef>
              <c:f>Chart!$N$1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Chart!$I$2:$I$5</c:f>
              <c:strCache>
                <c:ptCount val="3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</c:strCache>
            </c:strRef>
          </c:cat>
          <c:val>
            <c:numRef>
              <c:f>Chart!$N$2:$N$5</c:f>
              <c:numCache>
                <c:formatCode>General</c:formatCode>
                <c:ptCount val="3"/>
                <c:pt idx="0">
                  <c:v>170.64</c:v>
                </c:pt>
                <c:pt idx="1">
                  <c:v>85.32</c:v>
                </c:pt>
                <c:pt idx="2">
                  <c:v>292.13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12-4A5E-95B2-1421A2E678A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8832240"/>
        <c:axId val="1248832720"/>
      </c:barChart>
      <c:catAx>
        <c:axId val="124883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32720"/>
        <c:crosses val="autoZero"/>
        <c:auto val="1"/>
        <c:lblAlgn val="ctr"/>
        <c:lblOffset val="100"/>
        <c:noMultiLvlLbl val="0"/>
      </c:catAx>
      <c:valAx>
        <c:axId val="1248832720"/>
        <c:scaling>
          <c:orientation val="minMax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3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85725</xdr:rowOff>
    </xdr:from>
    <xdr:to>
      <xdr:col>6</xdr:col>
      <xdr:colOff>189937</xdr:colOff>
      <xdr:row>22</xdr:row>
      <xdr:rowOff>161582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125"/>
          <a:ext cx="4709795" cy="2564765"/>
        </a:xfrm>
        <a:prstGeom prst="rect">
          <a:avLst/>
        </a:prstGeom>
      </xdr:spPr>
    </xdr:pic>
    <xdr:clientData/>
  </xdr:twoCellAnchor>
  <xdr:twoCellAnchor>
    <xdr:from>
      <xdr:col>8</xdr:col>
      <xdr:colOff>139700</xdr:colOff>
      <xdr:row>6</xdr:row>
      <xdr:rowOff>3175</xdr:rowOff>
    </xdr:from>
    <xdr:to>
      <xdr:col>13</xdr:col>
      <xdr:colOff>825500</xdr:colOff>
      <xdr:row>21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9F0E2A-8158-D08D-160C-B01ACED44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5949.080198148149" createdVersion="8" refreshedVersion="8" minRefreshableVersion="3" recordCount="12" xr:uid="{DE217054-F859-43EC-A60E-37EA1A378195}">
  <cacheSource type="worksheet">
    <worksheetSource ref="A1:G13" sheet="Pivot"/>
  </cacheSource>
  <cacheFields count="7">
    <cacheField name="Customer Nbr" numFmtId="0">
      <sharedItems/>
    </cacheField>
    <cacheField name="Employee" numFmtId="0">
      <sharedItems count="11">
        <s v="Adams,Celeste"/>
        <s v="Allison,Stephanie"/>
        <s v="Alvarez,Jennifer"/>
        <s v="Alvord,Maria"/>
        <s v="Anderson,Daniel"/>
        <s v="Andos III,Nicholas"/>
        <s v="Andrews,Laura"/>
        <s v="Ankrah,Michelle"/>
        <s v="Archuleta,Jennifer"/>
        <s v="Arden,Sally"/>
        <s v="Ashby,Susan"/>
      </sharedItems>
    </cacheField>
    <cacheField name="ZC Invoice Num" numFmtId="0">
      <sharedItems count="11">
        <s v="ZNWT05815859"/>
        <s v="ZNWT05614858"/>
        <s v="ZNWT05615002"/>
        <s v="ZNWT05557012"/>
        <s v="ZNWT04993484"/>
        <s v="ZNWT05222590"/>
        <s v="ZNWT05595686"/>
        <s v="ZNWT05204231"/>
        <s v="ZNWT05837162"/>
        <s v="ZNWT05576293"/>
        <s v="ZNWT05058404"/>
      </sharedItems>
    </cacheField>
    <cacheField name="Inv Date" numFmtId="164">
      <sharedItems containsSemiMixedTypes="0" containsNonDate="0" containsDate="1" containsString="0" minDate="2015-01-16T00:00:00" maxDate="2015-11-14T00:00:00"/>
    </cacheField>
    <cacheField name="TS End" numFmtId="164">
      <sharedItems containsSemiMixedTypes="0" containsNonDate="0" containsDate="1" containsString="0" minDate="2015-01-11T00:00:00" maxDate="2015-11-02T00:00:00"/>
    </cacheField>
    <cacheField name="Total Outstanding" numFmtId="4">
      <sharedItems containsSemiMixedTypes="0" containsString="0" containsNumber="1" minValue="0.04" maxValue="2373"/>
    </cacheField>
    <cacheField name="Invoice Amount" numFmtId="4">
      <sharedItems containsSemiMixedTypes="0" containsString="0" containsNumber="1" minValue="75.25" maxValue="2559.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5949.13249398148" createdVersion="8" refreshedVersion="8" minRefreshableVersion="3" recordCount="4" xr:uid="{B51CF9CE-1E9A-4A0B-972C-47A032BD367F}">
  <cacheSource type="worksheet">
    <worksheetSource ref="A1:F5" sheet="Chart"/>
  </cacheSource>
  <cacheFields count="6">
    <cacheField name="Employee" numFmtId="0">
      <sharedItems count="4">
        <s v="Adams,Alvord"/>
        <s v="Alvord,Jennifer"/>
        <s v="Jitendra,Chauhan"/>
        <s v="Arden,Stephanie"/>
      </sharedItems>
    </cacheField>
    <cacheField name="2014" numFmtId="4">
      <sharedItems containsSemiMixedTypes="0" containsString="0" containsNumber="1" minValue="56.1" maxValue="192.08" count="3">
        <n v="112.2"/>
        <n v="56.1"/>
        <n v="192.08"/>
      </sharedItems>
    </cacheField>
    <cacheField name="2015" numFmtId="0">
      <sharedItems containsSemiMixedTypes="0" containsString="0" containsNumber="1" minValue="148.38" maxValue="321.76" count="4">
        <n v="148.38"/>
        <n v="270.95"/>
        <n v="321.76"/>
        <n v="204.88"/>
      </sharedItems>
    </cacheField>
    <cacheField name="2016" numFmtId="0">
      <sharedItems containsSemiMixedTypes="0" containsString="0" containsNumber="1" minValue="64.52" maxValue="220.89" count="3">
        <n v="129.03"/>
        <n v="64.52"/>
        <n v="220.89"/>
      </sharedItems>
    </cacheField>
    <cacheField name="2017" numFmtId="0">
      <sharedItems containsSemiMixedTypes="0" containsString="0" containsNumber="1" minValue="74.19" maxValue="254.03" count="3">
        <n v="148.38"/>
        <n v="74.19"/>
        <n v="254.03"/>
      </sharedItems>
    </cacheField>
    <cacheField name="2018" numFmtId="0">
      <sharedItems containsSemiMixedTypes="0" containsString="0" containsNumber="1" minValue="85.32" maxValue="292.13" count="3">
        <n v="170.64"/>
        <n v="85.32"/>
        <n v="292.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Wolters Kluwer ZCR- Kelly APC2"/>
    <x v="0"/>
    <x v="0"/>
    <d v="2015-11-06T00:00:00"/>
    <d v="2015-11-01T00:00:00"/>
    <n v="2373"/>
    <n v="2373"/>
  </r>
  <r>
    <s v="Wolters Kluwer ZCR- Kelly APC2"/>
    <x v="1"/>
    <x v="1"/>
    <d v="2015-09-04T00:00:00"/>
    <d v="2015-08-30T00:00:00"/>
    <n v="0.35"/>
    <n v="1009.82"/>
  </r>
  <r>
    <s v="Wolters Kluwer ZCR- Kelly APC2"/>
    <x v="2"/>
    <x v="2"/>
    <d v="2015-09-04T00:00:00"/>
    <d v="2015-08-30T00:00:00"/>
    <n v="860.54"/>
    <n v="860.54"/>
  </r>
  <r>
    <s v="Wolters Kluwer ZCR- Kelly APC2"/>
    <x v="3"/>
    <x v="3"/>
    <d v="2015-08-14T00:00:00"/>
    <d v="2015-08-02T00:00:00"/>
    <n v="135.33000000000001"/>
    <n v="135.33000000000001"/>
  </r>
  <r>
    <s v="Wolters Kluwer ZCR- Kelly APC2"/>
    <x v="4"/>
    <x v="4"/>
    <d v="2015-01-16T00:00:00"/>
    <d v="2015-01-11T00:00:00"/>
    <n v="12.4"/>
    <n v="2559.1999999999998"/>
  </r>
  <r>
    <s v="Wolters Kluwer ZCR- Kelly APC2"/>
    <x v="5"/>
    <x v="5"/>
    <d v="2015-04-10T00:00:00"/>
    <d v="2015-04-05T00:00:00"/>
    <n v="2149.77"/>
    <n v="2149.77"/>
  </r>
  <r>
    <s v="Wolters Kluwer ZCR- Kelly APC2"/>
    <x v="6"/>
    <x v="6"/>
    <d v="2015-08-28T00:00:00"/>
    <d v="2015-08-16T00:00:00"/>
    <n v="225.6"/>
    <n v="225.6"/>
  </r>
  <r>
    <s v="Wolters Kluwer ZCR- Kelly APC2"/>
    <x v="7"/>
    <x v="7"/>
    <d v="2015-04-03T00:00:00"/>
    <d v="2015-03-29T00:00:00"/>
    <n v="75.25"/>
    <n v="75.25"/>
  </r>
  <r>
    <s v="Wolters Kluwer ZCR- Kelly APC2"/>
    <x v="8"/>
    <x v="8"/>
    <d v="2015-11-13T00:00:00"/>
    <d v="2015-10-11T00:00:00"/>
    <n v="204.88"/>
    <n v="204.88"/>
  </r>
  <r>
    <s v="Wolters Kluwer ZCR- Kelly APC2"/>
    <x v="9"/>
    <x v="9"/>
    <d v="2015-08-21T00:00:00"/>
    <d v="2015-07-26T00:00:00"/>
    <n v="0.04"/>
    <n v="112.2"/>
  </r>
  <r>
    <s v="Wolters Kluwer ZCR- Kelly APC2"/>
    <x v="10"/>
    <x v="10"/>
    <d v="2015-02-06T00:00:00"/>
    <d v="2015-02-01T00:00:00"/>
    <n v="417.01"/>
    <n v="417.01"/>
  </r>
  <r>
    <s v="Wolters Kluwer ZCR- Kelly APC2"/>
    <x v="10"/>
    <x v="4"/>
    <d v="2015-10-09T00:00:00"/>
    <d v="2015-10-04T00:00:00"/>
    <n v="804.93"/>
    <n v="804.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x v="0"/>
  </r>
  <r>
    <x v="1"/>
    <x v="1"/>
    <x v="1"/>
    <x v="1"/>
    <x v="1"/>
    <x v="1"/>
  </r>
  <r>
    <x v="2"/>
    <x v="0"/>
    <x v="2"/>
    <x v="0"/>
    <x v="0"/>
    <x v="0"/>
  </r>
  <r>
    <x v="3"/>
    <x v="2"/>
    <x v="3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925F5-EDC0-4634-837E-E29AFEBD42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B28" firstHeaderRow="1" firstDataRow="1" firstDataCol="1"/>
  <pivotFields count="7">
    <pivotField compact="0" outline="0" showAll="0"/>
    <pivotField compact="0" outline="0" showAll="0"/>
    <pivotField axis="axisRow" dataField="1" compact="0" outline="0" showAll="0">
      <items count="12">
        <item x="4"/>
        <item x="10"/>
        <item x="7"/>
        <item x="5"/>
        <item x="3"/>
        <item x="9"/>
        <item x="6"/>
        <item x="1"/>
        <item x="2"/>
        <item x="0"/>
        <item x="8"/>
        <item t="default"/>
      </items>
    </pivotField>
    <pivotField compact="0" numFmtId="164" outline="0" showAll="0"/>
    <pivotField compact="0" numFmtId="164" outline="0" showAll="0"/>
    <pivotField compact="0" numFmtId="4" outline="0" showAll="0"/>
    <pivotField compact="0" numFmtId="4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ZC Invoice Num" fld="2" subtotal="count" baseField="0" baseItem="0"/>
  </dataFields>
  <formats count="1">
    <format dxfId="0">
      <pivotArea outline="0" fieldPosition="0">
        <references count="1"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AEA08-D29D-4DC1-9450-B443E20AAAA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I1:N5" firstHeaderRow="0" firstDataRow="1" firstDataCol="1"/>
  <pivotFields count="6">
    <pivotField axis="axisRow" compact="0" outline="0" showAll="0">
      <items count="5">
        <item x="0"/>
        <item x="1"/>
        <item x="3"/>
        <item h="1" x="2"/>
        <item t="default"/>
      </items>
    </pivotField>
    <pivotField dataField="1" compact="0" numFmtId="4" outline="0" showAll="0">
      <items count="4">
        <item x="1"/>
        <item x="0"/>
        <item x="2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14" fld="1" baseField="0" baseItem="0" numFmtId="4"/>
    <dataField name="Sum of 2015" fld="2" baseField="0" baseItem="0"/>
    <dataField name="Sum of 2016" fld="3" baseField="0" baseItem="0"/>
    <dataField name="Sum of 2017" fld="4" baseField="0" baseItem="0"/>
    <dataField name="Sum of 2018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>
      <selection activeCell="H6" sqref="H6"/>
    </sheetView>
  </sheetViews>
  <sheetFormatPr defaultColWidth="9" defaultRowHeight="14" x14ac:dyDescent="0.25"/>
  <cols>
    <col min="1" max="1" width="15.26953125" customWidth="1"/>
    <col min="2" max="2" width="29" customWidth="1"/>
    <col min="3" max="3" width="16" customWidth="1"/>
    <col min="4" max="4" width="15.26953125" customWidth="1"/>
    <col min="5" max="5" width="8.453125" customWidth="1"/>
    <col min="6" max="6" width="8.08984375" customWidth="1"/>
    <col min="7" max="7" width="17.26953125" customWidth="1"/>
    <col min="8" max="8" width="15.26953125" customWidth="1"/>
  </cols>
  <sheetData>
    <row r="1" spans="1:8" ht="14.5" x14ac:dyDescent="0.3">
      <c r="A1" s="1" t="s">
        <v>0</v>
      </c>
      <c r="B1" s="1" t="s">
        <v>1</v>
      </c>
      <c r="C1" s="1" t="s">
        <v>2</v>
      </c>
      <c r="D1" s="1" t="s">
        <v>0</v>
      </c>
      <c r="E1" s="6" t="s">
        <v>3</v>
      </c>
      <c r="F1" s="6" t="s">
        <v>4</v>
      </c>
      <c r="G1" s="7" t="s">
        <v>5</v>
      </c>
      <c r="H1" s="8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7</v>
      </c>
      <c r="E2" s="9">
        <v>42314</v>
      </c>
      <c r="F2" s="9">
        <v>42309</v>
      </c>
      <c r="G2" s="3">
        <v>2373</v>
      </c>
      <c r="H2" s="3">
        <v>2373</v>
      </c>
    </row>
    <row r="3" spans="1:8" x14ac:dyDescent="0.25">
      <c r="A3" s="2" t="s">
        <v>10</v>
      </c>
      <c r="B3" s="2" t="s">
        <v>8</v>
      </c>
      <c r="C3" s="2" t="s">
        <v>9</v>
      </c>
      <c r="D3" s="2" t="s">
        <v>10</v>
      </c>
      <c r="E3" s="9">
        <v>42321</v>
      </c>
      <c r="F3" s="9">
        <v>42316</v>
      </c>
      <c r="G3" s="3">
        <v>2887.15</v>
      </c>
      <c r="H3" s="3">
        <v>2887.15</v>
      </c>
    </row>
    <row r="4" spans="1:8" x14ac:dyDescent="0.25">
      <c r="A4" s="2" t="s">
        <v>11</v>
      </c>
      <c r="B4" s="2" t="s">
        <v>8</v>
      </c>
      <c r="C4" s="2" t="s">
        <v>9</v>
      </c>
      <c r="D4" s="2" t="s">
        <v>11</v>
      </c>
      <c r="E4" s="9">
        <v>42328</v>
      </c>
      <c r="F4" s="9">
        <v>42323</v>
      </c>
      <c r="G4" s="3">
        <v>2373</v>
      </c>
      <c r="H4" s="3">
        <v>2373</v>
      </c>
    </row>
    <row r="5" spans="1:8" x14ac:dyDescent="0.25">
      <c r="A5" s="2" t="s">
        <v>12</v>
      </c>
      <c r="B5" s="2" t="s">
        <v>8</v>
      </c>
      <c r="C5" s="2" t="s">
        <v>9</v>
      </c>
      <c r="D5" s="2" t="s">
        <v>12</v>
      </c>
      <c r="E5" s="9">
        <v>42335</v>
      </c>
      <c r="F5" s="9">
        <v>42330</v>
      </c>
      <c r="G5" s="3">
        <v>2096.15</v>
      </c>
      <c r="H5" s="3">
        <v>2096.15</v>
      </c>
    </row>
    <row r="6" spans="1:8" x14ac:dyDescent="0.25">
      <c r="A6" s="2" t="s">
        <v>13</v>
      </c>
      <c r="B6" s="2" t="s">
        <v>8</v>
      </c>
      <c r="C6" s="2" t="s">
        <v>9</v>
      </c>
      <c r="D6" s="2" t="s">
        <v>13</v>
      </c>
      <c r="E6" s="9">
        <v>42342</v>
      </c>
      <c r="F6" s="9">
        <v>42337</v>
      </c>
      <c r="G6" s="3">
        <v>514.15</v>
      </c>
      <c r="H6" s="3">
        <v>514.15</v>
      </c>
    </row>
    <row r="7" spans="1:8" x14ac:dyDescent="0.25">
      <c r="A7" s="2" t="s">
        <v>14</v>
      </c>
      <c r="B7" s="2" t="s">
        <v>8</v>
      </c>
      <c r="C7" s="2" t="s">
        <v>9</v>
      </c>
      <c r="D7" s="2" t="s">
        <v>14</v>
      </c>
      <c r="E7" s="9">
        <v>42349</v>
      </c>
      <c r="F7" s="9">
        <v>42344</v>
      </c>
      <c r="G7" s="3">
        <v>2728.95</v>
      </c>
      <c r="H7" s="3">
        <v>2728.95</v>
      </c>
    </row>
    <row r="8" spans="1:8" x14ac:dyDescent="0.25">
      <c r="A8" s="2" t="s">
        <v>15</v>
      </c>
      <c r="B8" s="2" t="s">
        <v>8</v>
      </c>
      <c r="C8" s="2" t="s">
        <v>16</v>
      </c>
      <c r="D8" s="2" t="s">
        <v>15</v>
      </c>
      <c r="E8" s="9">
        <v>42251</v>
      </c>
      <c r="F8" s="9">
        <v>42246</v>
      </c>
      <c r="G8" s="3">
        <v>0.35</v>
      </c>
      <c r="H8" s="3">
        <v>1009.82</v>
      </c>
    </row>
    <row r="9" spans="1:8" x14ac:dyDescent="0.25">
      <c r="A9" s="2" t="s">
        <v>17</v>
      </c>
      <c r="B9" s="2" t="s">
        <v>8</v>
      </c>
      <c r="C9" s="2" t="s">
        <v>16</v>
      </c>
      <c r="D9" s="2" t="s">
        <v>17</v>
      </c>
      <c r="E9" s="9">
        <v>42258</v>
      </c>
      <c r="F9" s="9">
        <v>42253</v>
      </c>
      <c r="G9" s="3">
        <v>0.33</v>
      </c>
      <c r="H9" s="3">
        <v>951.28</v>
      </c>
    </row>
    <row r="10" spans="1:8" x14ac:dyDescent="0.25">
      <c r="A10" s="2" t="s">
        <v>18</v>
      </c>
      <c r="B10" s="2" t="s">
        <v>8</v>
      </c>
      <c r="C10" s="2" t="s">
        <v>16</v>
      </c>
      <c r="D10" s="2" t="s">
        <v>18</v>
      </c>
      <c r="E10" s="9">
        <v>42265</v>
      </c>
      <c r="F10" s="9">
        <v>42260</v>
      </c>
      <c r="G10" s="3">
        <v>0.24</v>
      </c>
      <c r="H10" s="3">
        <v>724.43</v>
      </c>
    </row>
    <row r="11" spans="1:8" x14ac:dyDescent="0.25">
      <c r="A11" s="2" t="s">
        <v>19</v>
      </c>
      <c r="B11" s="2" t="s">
        <v>8</v>
      </c>
      <c r="C11" s="2" t="s">
        <v>16</v>
      </c>
      <c r="D11" s="2" t="s">
        <v>19</v>
      </c>
      <c r="E11" s="9">
        <v>42272</v>
      </c>
      <c r="F11" s="9">
        <v>42267</v>
      </c>
      <c r="G11" s="3">
        <v>0.34</v>
      </c>
      <c r="H11" s="3">
        <v>970.89</v>
      </c>
    </row>
    <row r="12" spans="1:8" x14ac:dyDescent="0.25">
      <c r="A12" s="2" t="s">
        <v>20</v>
      </c>
      <c r="B12" s="2" t="s">
        <v>8</v>
      </c>
      <c r="C12" s="2" t="s">
        <v>16</v>
      </c>
      <c r="D12" s="2" t="s">
        <v>20</v>
      </c>
      <c r="E12" s="9">
        <v>42279</v>
      </c>
      <c r="F12" s="9">
        <v>42274</v>
      </c>
      <c r="G12" s="3">
        <v>848.83</v>
      </c>
      <c r="H12" s="3">
        <v>848.83</v>
      </c>
    </row>
    <row r="13" spans="1:8" x14ac:dyDescent="0.25">
      <c r="A13" s="2" t="s">
        <v>21</v>
      </c>
      <c r="B13" s="2" t="s">
        <v>8</v>
      </c>
      <c r="C13" s="2" t="s">
        <v>16</v>
      </c>
      <c r="D13" s="2" t="s">
        <v>21</v>
      </c>
      <c r="E13" s="9">
        <v>42286</v>
      </c>
      <c r="F13" s="9">
        <v>42281</v>
      </c>
      <c r="G13" s="3">
        <v>804.93</v>
      </c>
      <c r="H13" s="3">
        <v>804.93</v>
      </c>
    </row>
    <row r="14" spans="1:8" x14ac:dyDescent="0.25">
      <c r="A14" s="2" t="s">
        <v>22</v>
      </c>
      <c r="B14" s="2" t="s">
        <v>8</v>
      </c>
      <c r="C14" s="2" t="s">
        <v>16</v>
      </c>
      <c r="D14" s="2" t="s">
        <v>22</v>
      </c>
      <c r="E14" s="9">
        <v>42293</v>
      </c>
      <c r="F14" s="9">
        <v>42288</v>
      </c>
      <c r="G14" s="3">
        <v>746.39</v>
      </c>
      <c r="H14" s="3">
        <v>746.39</v>
      </c>
    </row>
    <row r="15" spans="1:8" x14ac:dyDescent="0.25">
      <c r="A15" s="2" t="s">
        <v>23</v>
      </c>
      <c r="B15" s="2" t="s">
        <v>8</v>
      </c>
      <c r="C15" s="2" t="s">
        <v>16</v>
      </c>
      <c r="D15" s="2" t="s">
        <v>23</v>
      </c>
      <c r="E15" s="9">
        <v>42300</v>
      </c>
      <c r="F15" s="9">
        <v>42295</v>
      </c>
      <c r="G15" s="3">
        <v>875.47</v>
      </c>
      <c r="H15" s="3">
        <v>875.47</v>
      </c>
    </row>
    <row r="16" spans="1:8" x14ac:dyDescent="0.25">
      <c r="A16" s="2" t="s">
        <v>24</v>
      </c>
      <c r="B16" s="2" t="s">
        <v>8</v>
      </c>
      <c r="C16" s="2" t="s">
        <v>16</v>
      </c>
      <c r="D16" s="2" t="s">
        <v>24</v>
      </c>
      <c r="E16" s="9">
        <v>42307</v>
      </c>
      <c r="F16" s="9">
        <v>42302</v>
      </c>
      <c r="G16" s="3">
        <v>939.27</v>
      </c>
      <c r="H16" s="3">
        <v>939.27</v>
      </c>
    </row>
    <row r="17" spans="1:8" x14ac:dyDescent="0.25">
      <c r="A17" s="2" t="s">
        <v>25</v>
      </c>
      <c r="B17" s="2" t="s">
        <v>8</v>
      </c>
      <c r="C17" s="2" t="s">
        <v>16</v>
      </c>
      <c r="D17" s="2" t="s">
        <v>25</v>
      </c>
      <c r="E17" s="9">
        <v>42314</v>
      </c>
      <c r="F17" s="9">
        <v>42309</v>
      </c>
      <c r="G17" s="3">
        <v>831.85</v>
      </c>
      <c r="H17" s="3">
        <v>831.85</v>
      </c>
    </row>
    <row r="18" spans="1:8" x14ac:dyDescent="0.25">
      <c r="A18" s="2" t="s">
        <v>26</v>
      </c>
      <c r="B18" s="2" t="s">
        <v>8</v>
      </c>
      <c r="C18" s="2" t="s">
        <v>16</v>
      </c>
      <c r="D18" s="2" t="s">
        <v>26</v>
      </c>
      <c r="E18" s="9">
        <v>42321</v>
      </c>
      <c r="F18" s="9">
        <v>42316</v>
      </c>
      <c r="G18" s="3">
        <v>853.81</v>
      </c>
      <c r="H18" s="3">
        <v>853.81</v>
      </c>
    </row>
    <row r="19" spans="1:8" x14ac:dyDescent="0.25">
      <c r="A19" s="2" t="s">
        <v>27</v>
      </c>
      <c r="B19" s="2" t="s">
        <v>8</v>
      </c>
      <c r="C19" s="2" t="s">
        <v>16</v>
      </c>
      <c r="D19" s="2" t="s">
        <v>27</v>
      </c>
      <c r="E19" s="9">
        <v>42328</v>
      </c>
      <c r="F19" s="9">
        <v>42323</v>
      </c>
      <c r="G19" s="3">
        <v>790.29</v>
      </c>
      <c r="H19" s="3">
        <v>790.29</v>
      </c>
    </row>
    <row r="20" spans="1:8" x14ac:dyDescent="0.25">
      <c r="A20" s="2" t="s">
        <v>28</v>
      </c>
      <c r="B20" s="2" t="s">
        <v>8</v>
      </c>
      <c r="C20" s="2" t="s">
        <v>16</v>
      </c>
      <c r="D20" s="2" t="s">
        <v>28</v>
      </c>
      <c r="E20" s="9">
        <v>42335</v>
      </c>
      <c r="F20" s="9">
        <v>42330</v>
      </c>
      <c r="G20" s="3">
        <v>804.93</v>
      </c>
      <c r="H20" s="3">
        <v>804.93</v>
      </c>
    </row>
    <row r="21" spans="1:8" x14ac:dyDescent="0.25">
      <c r="A21" s="2" t="s">
        <v>29</v>
      </c>
      <c r="B21" s="2" t="s">
        <v>8</v>
      </c>
      <c r="C21" s="2" t="s">
        <v>16</v>
      </c>
      <c r="D21" s="2" t="s">
        <v>29</v>
      </c>
      <c r="E21" s="9">
        <v>42342</v>
      </c>
      <c r="F21" s="9">
        <v>42337</v>
      </c>
      <c r="G21" s="3">
        <v>697.5</v>
      </c>
      <c r="H21" s="3">
        <v>697.5</v>
      </c>
    </row>
    <row r="22" spans="1:8" x14ac:dyDescent="0.25">
      <c r="A22" s="2" t="s">
        <v>30</v>
      </c>
      <c r="B22" s="2" t="s">
        <v>8</v>
      </c>
      <c r="C22" s="2" t="s">
        <v>16</v>
      </c>
      <c r="D22" s="2" t="s">
        <v>30</v>
      </c>
      <c r="E22" s="9">
        <v>42349</v>
      </c>
      <c r="F22" s="9">
        <v>42344</v>
      </c>
      <c r="G22" s="3">
        <v>1061.04</v>
      </c>
      <c r="H22" s="3">
        <v>1061.04</v>
      </c>
    </row>
    <row r="23" spans="1:8" x14ac:dyDescent="0.25">
      <c r="A23" s="2" t="s">
        <v>31</v>
      </c>
      <c r="B23" s="2" t="s">
        <v>8</v>
      </c>
      <c r="C23" s="2" t="s">
        <v>32</v>
      </c>
      <c r="D23" s="2" t="s">
        <v>31</v>
      </c>
      <c r="E23" s="9">
        <v>42251</v>
      </c>
      <c r="F23" s="9">
        <v>42246</v>
      </c>
      <c r="G23" s="3">
        <v>860.54</v>
      </c>
      <c r="H23" s="3">
        <v>860.54</v>
      </c>
    </row>
    <row r="24" spans="1:8" x14ac:dyDescent="0.25">
      <c r="A24" s="2" t="s">
        <v>33</v>
      </c>
      <c r="B24" s="2" t="s">
        <v>8</v>
      </c>
      <c r="C24" s="2" t="s">
        <v>32</v>
      </c>
      <c r="D24" s="2" t="s">
        <v>33</v>
      </c>
      <c r="E24" s="9">
        <v>42258</v>
      </c>
      <c r="F24" s="9">
        <v>42253</v>
      </c>
      <c r="G24" s="3">
        <v>779.99</v>
      </c>
      <c r="H24" s="3">
        <v>779.99</v>
      </c>
    </row>
    <row r="25" spans="1:8" x14ac:dyDescent="0.25">
      <c r="A25" s="2" t="s">
        <v>34</v>
      </c>
      <c r="B25" s="2" t="s">
        <v>8</v>
      </c>
      <c r="C25" s="2" t="s">
        <v>32</v>
      </c>
      <c r="D25" s="2" t="s">
        <v>34</v>
      </c>
      <c r="E25" s="9">
        <v>42279</v>
      </c>
      <c r="F25" s="9">
        <v>42274</v>
      </c>
      <c r="G25" s="3">
        <v>770.66</v>
      </c>
      <c r="H25" s="3">
        <v>770.66</v>
      </c>
    </row>
    <row r="26" spans="1:8" x14ac:dyDescent="0.25">
      <c r="A26" s="2" t="s">
        <v>35</v>
      </c>
      <c r="B26" s="2" t="s">
        <v>8</v>
      </c>
      <c r="C26" s="2" t="s">
        <v>32</v>
      </c>
      <c r="D26" s="2" t="s">
        <v>35</v>
      </c>
      <c r="E26" s="9">
        <v>42300</v>
      </c>
      <c r="F26" s="9">
        <v>42295</v>
      </c>
      <c r="G26" s="3">
        <v>480.81</v>
      </c>
      <c r="H26" s="3">
        <v>480.81</v>
      </c>
    </row>
    <row r="27" spans="1:8" x14ac:dyDescent="0.25">
      <c r="A27" s="2" t="s">
        <v>36</v>
      </c>
      <c r="B27" s="2" t="s">
        <v>8</v>
      </c>
      <c r="C27" s="2" t="s">
        <v>32</v>
      </c>
      <c r="D27" s="2" t="s">
        <v>36</v>
      </c>
      <c r="E27" s="9">
        <v>42307</v>
      </c>
      <c r="F27" s="9">
        <v>42302</v>
      </c>
      <c r="G27" s="3">
        <v>823.53</v>
      </c>
      <c r="H27" s="3">
        <v>823.53</v>
      </c>
    </row>
    <row r="28" spans="1:8" x14ac:dyDescent="0.25">
      <c r="A28" s="2" t="s">
        <v>37</v>
      </c>
      <c r="B28" s="2" t="s">
        <v>8</v>
      </c>
      <c r="C28" s="2" t="s">
        <v>32</v>
      </c>
      <c r="D28" s="2" t="s">
        <v>37</v>
      </c>
      <c r="E28" s="9">
        <v>42314</v>
      </c>
      <c r="F28" s="9">
        <v>42309</v>
      </c>
      <c r="G28" s="3">
        <v>724.01</v>
      </c>
      <c r="H28" s="3">
        <v>724.01</v>
      </c>
    </row>
    <row r="29" spans="1:8" x14ac:dyDescent="0.25">
      <c r="A29" s="2" t="s">
        <v>38</v>
      </c>
      <c r="B29" s="2" t="s">
        <v>8</v>
      </c>
      <c r="C29" s="2" t="s">
        <v>32</v>
      </c>
      <c r="D29" s="2" t="s">
        <v>38</v>
      </c>
      <c r="E29" s="9">
        <v>42321</v>
      </c>
      <c r="F29" s="9">
        <v>42316</v>
      </c>
      <c r="G29" s="3">
        <v>958.5</v>
      </c>
      <c r="H29" s="3">
        <v>958.5</v>
      </c>
    </row>
    <row r="30" spans="1:8" x14ac:dyDescent="0.25">
      <c r="A30" s="2" t="s">
        <v>39</v>
      </c>
      <c r="B30" s="2" t="s">
        <v>8</v>
      </c>
      <c r="C30" s="2" t="s">
        <v>32</v>
      </c>
      <c r="D30" s="2" t="s">
        <v>39</v>
      </c>
      <c r="E30" s="9">
        <v>42328</v>
      </c>
      <c r="F30" s="9">
        <v>42323</v>
      </c>
      <c r="G30" s="3">
        <v>347.7</v>
      </c>
      <c r="H30" s="3">
        <v>347.7</v>
      </c>
    </row>
    <row r="31" spans="1:8" x14ac:dyDescent="0.25">
      <c r="A31" s="2" t="s">
        <v>40</v>
      </c>
      <c r="B31" s="2" t="s">
        <v>8</v>
      </c>
      <c r="C31" s="2" t="s">
        <v>32</v>
      </c>
      <c r="D31" s="2" t="s">
        <v>40</v>
      </c>
      <c r="E31" s="9">
        <v>42335</v>
      </c>
      <c r="F31" s="9">
        <v>42330</v>
      </c>
      <c r="G31" s="3">
        <v>1064.8599999999999</v>
      </c>
      <c r="H31" s="3">
        <v>1064.8599999999999</v>
      </c>
    </row>
    <row r="32" spans="1:8" x14ac:dyDescent="0.25">
      <c r="A32" s="2" t="s">
        <v>41</v>
      </c>
      <c r="B32" s="2" t="s">
        <v>8</v>
      </c>
      <c r="C32" s="2" t="s">
        <v>32</v>
      </c>
      <c r="D32" s="2" t="s">
        <v>41</v>
      </c>
      <c r="E32" s="9">
        <v>42342</v>
      </c>
      <c r="F32" s="9">
        <v>42337</v>
      </c>
      <c r="G32" s="3">
        <v>406.79</v>
      </c>
      <c r="H32" s="3">
        <v>406.79</v>
      </c>
    </row>
    <row r="33" spans="1:8" x14ac:dyDescent="0.25">
      <c r="A33" s="2" t="s">
        <v>42</v>
      </c>
      <c r="B33" s="2" t="s">
        <v>8</v>
      </c>
      <c r="C33" s="2" t="s">
        <v>32</v>
      </c>
      <c r="D33" s="2" t="s">
        <v>42</v>
      </c>
      <c r="E33" s="9">
        <v>42349</v>
      </c>
      <c r="F33" s="9">
        <v>42344</v>
      </c>
      <c r="G33" s="3">
        <v>633.82000000000005</v>
      </c>
      <c r="H33" s="3">
        <v>633.82000000000005</v>
      </c>
    </row>
    <row r="34" spans="1:8" x14ac:dyDescent="0.25">
      <c r="A34" s="2" t="s">
        <v>43</v>
      </c>
      <c r="B34" s="2" t="s">
        <v>8</v>
      </c>
      <c r="C34" s="2" t="s">
        <v>44</v>
      </c>
      <c r="D34" s="2" t="s">
        <v>43</v>
      </c>
      <c r="E34" s="9">
        <v>42230</v>
      </c>
      <c r="F34" s="9">
        <v>42218</v>
      </c>
      <c r="G34" s="3">
        <v>135.33000000000001</v>
      </c>
      <c r="H34" s="3">
        <v>135.33000000000001</v>
      </c>
    </row>
    <row r="35" spans="1:8" x14ac:dyDescent="0.25">
      <c r="A35" s="2" t="s">
        <v>45</v>
      </c>
      <c r="B35" s="2" t="s">
        <v>8</v>
      </c>
      <c r="C35" s="2" t="s">
        <v>44</v>
      </c>
      <c r="D35" s="2" t="s">
        <v>45</v>
      </c>
      <c r="E35" s="9">
        <v>42251</v>
      </c>
      <c r="F35" s="9">
        <v>42239</v>
      </c>
      <c r="G35" s="3">
        <v>76.81</v>
      </c>
      <c r="H35" s="3">
        <v>76.81</v>
      </c>
    </row>
    <row r="36" spans="1:8" x14ac:dyDescent="0.25">
      <c r="A36" s="2" t="s">
        <v>46</v>
      </c>
      <c r="B36" s="2" t="s">
        <v>8</v>
      </c>
      <c r="C36" s="2" t="s">
        <v>44</v>
      </c>
      <c r="D36" s="2" t="s">
        <v>46</v>
      </c>
      <c r="E36" s="9">
        <v>42251</v>
      </c>
      <c r="F36" s="9">
        <v>42246</v>
      </c>
      <c r="G36" s="3">
        <v>62.18</v>
      </c>
      <c r="H36" s="3">
        <v>62.18</v>
      </c>
    </row>
    <row r="37" spans="1:8" x14ac:dyDescent="0.25">
      <c r="A37" s="2" t="s">
        <v>47</v>
      </c>
      <c r="B37" s="2" t="s">
        <v>8</v>
      </c>
      <c r="C37" s="2" t="s">
        <v>44</v>
      </c>
      <c r="D37" s="2" t="s">
        <v>47</v>
      </c>
      <c r="E37" s="9">
        <v>42258</v>
      </c>
      <c r="F37" s="9">
        <v>42253</v>
      </c>
      <c r="G37" s="3">
        <v>87.78</v>
      </c>
      <c r="H37" s="3">
        <v>87.78</v>
      </c>
    </row>
    <row r="38" spans="1:8" x14ac:dyDescent="0.25">
      <c r="A38" s="2" t="s">
        <v>48</v>
      </c>
      <c r="B38" s="2" t="s">
        <v>8</v>
      </c>
      <c r="C38" s="2" t="s">
        <v>44</v>
      </c>
      <c r="D38" s="2" t="s">
        <v>48</v>
      </c>
      <c r="E38" s="9">
        <v>42279</v>
      </c>
      <c r="F38" s="9">
        <v>42267</v>
      </c>
      <c r="G38" s="3">
        <v>80.47</v>
      </c>
      <c r="H38" s="3">
        <v>80.47</v>
      </c>
    </row>
    <row r="39" spans="1:8" x14ac:dyDescent="0.25">
      <c r="A39" s="2" t="s">
        <v>49</v>
      </c>
      <c r="B39" s="2" t="s">
        <v>8</v>
      </c>
      <c r="C39" s="2" t="s">
        <v>44</v>
      </c>
      <c r="D39" s="2" t="s">
        <v>49</v>
      </c>
      <c r="E39" s="9">
        <v>42279</v>
      </c>
      <c r="F39" s="9">
        <v>42274</v>
      </c>
      <c r="G39" s="3">
        <v>124.36</v>
      </c>
      <c r="H39" s="3">
        <v>124.36</v>
      </c>
    </row>
    <row r="40" spans="1:8" x14ac:dyDescent="0.25">
      <c r="A40" s="2" t="s">
        <v>50</v>
      </c>
      <c r="B40" s="2" t="s">
        <v>8</v>
      </c>
      <c r="C40" s="2" t="s">
        <v>44</v>
      </c>
      <c r="D40" s="2" t="s">
        <v>50</v>
      </c>
      <c r="E40" s="9">
        <v>42300</v>
      </c>
      <c r="F40" s="9">
        <v>42288</v>
      </c>
      <c r="G40" s="3">
        <v>36.58</v>
      </c>
      <c r="H40" s="3">
        <v>36.58</v>
      </c>
    </row>
    <row r="41" spans="1:8" x14ac:dyDescent="0.25">
      <c r="A41" s="2" t="s">
        <v>51</v>
      </c>
      <c r="B41" s="2" t="s">
        <v>8</v>
      </c>
      <c r="C41" s="2" t="s">
        <v>44</v>
      </c>
      <c r="D41" s="2" t="s">
        <v>51</v>
      </c>
      <c r="E41" s="9">
        <v>42307</v>
      </c>
      <c r="F41" s="9">
        <v>42295</v>
      </c>
      <c r="G41" s="3">
        <v>65.84</v>
      </c>
      <c r="H41" s="3">
        <v>65.84</v>
      </c>
    </row>
    <row r="42" spans="1:8" x14ac:dyDescent="0.25">
      <c r="A42" s="2" t="s">
        <v>52</v>
      </c>
      <c r="B42" s="2" t="s">
        <v>8</v>
      </c>
      <c r="C42" s="2" t="s">
        <v>44</v>
      </c>
      <c r="D42" s="2" t="s">
        <v>52</v>
      </c>
      <c r="E42" s="9">
        <v>42307</v>
      </c>
      <c r="F42" s="9">
        <v>42302</v>
      </c>
      <c r="G42" s="3">
        <v>65.84</v>
      </c>
      <c r="H42" s="3">
        <v>65.84</v>
      </c>
    </row>
    <row r="43" spans="1:8" x14ac:dyDescent="0.25">
      <c r="A43" s="2" t="s">
        <v>53</v>
      </c>
      <c r="B43" s="2" t="s">
        <v>8</v>
      </c>
      <c r="C43" s="2" t="s">
        <v>44</v>
      </c>
      <c r="D43" s="2" t="s">
        <v>53</v>
      </c>
      <c r="E43" s="9">
        <v>42321</v>
      </c>
      <c r="F43" s="9">
        <v>42309</v>
      </c>
      <c r="G43" s="3">
        <v>58.52</v>
      </c>
      <c r="H43" s="3">
        <v>58.52</v>
      </c>
    </row>
    <row r="44" spans="1:8" x14ac:dyDescent="0.25">
      <c r="A44" s="2" t="s">
        <v>54</v>
      </c>
      <c r="B44" s="2" t="s">
        <v>8</v>
      </c>
      <c r="C44" s="2" t="s">
        <v>44</v>
      </c>
      <c r="D44" s="2" t="s">
        <v>54</v>
      </c>
      <c r="E44" s="9">
        <v>42321</v>
      </c>
      <c r="F44" s="9">
        <v>42316</v>
      </c>
      <c r="G44" s="3">
        <v>65.84</v>
      </c>
      <c r="H44" s="3">
        <v>65.84</v>
      </c>
    </row>
    <row r="45" spans="1:8" x14ac:dyDescent="0.25">
      <c r="A45" s="2" t="s">
        <v>55</v>
      </c>
      <c r="B45" s="2" t="s">
        <v>8</v>
      </c>
      <c r="C45" s="2" t="s">
        <v>44</v>
      </c>
      <c r="D45" s="2" t="s">
        <v>55</v>
      </c>
      <c r="E45" s="9">
        <v>42328</v>
      </c>
      <c r="F45" s="9">
        <v>42323</v>
      </c>
      <c r="G45" s="3">
        <v>73.150000000000006</v>
      </c>
      <c r="H45" s="3">
        <v>73.150000000000006</v>
      </c>
    </row>
    <row r="46" spans="1:8" x14ac:dyDescent="0.25">
      <c r="A46" s="2" t="s">
        <v>56</v>
      </c>
      <c r="B46" s="2" t="s">
        <v>8</v>
      </c>
      <c r="C46" s="2" t="s">
        <v>44</v>
      </c>
      <c r="D46" s="2" t="s">
        <v>56</v>
      </c>
      <c r="E46" s="9">
        <v>42342</v>
      </c>
      <c r="F46" s="9">
        <v>42330</v>
      </c>
      <c r="G46" s="3">
        <v>51.21</v>
      </c>
      <c r="H46" s="3">
        <v>51.21</v>
      </c>
    </row>
    <row r="47" spans="1:8" x14ac:dyDescent="0.25">
      <c r="A47" s="2" t="s">
        <v>57</v>
      </c>
      <c r="B47" s="2" t="s">
        <v>8</v>
      </c>
      <c r="C47" s="2" t="s">
        <v>44</v>
      </c>
      <c r="D47" s="2" t="s">
        <v>57</v>
      </c>
      <c r="E47" s="9">
        <v>42342</v>
      </c>
      <c r="F47" s="9">
        <v>42337</v>
      </c>
      <c r="G47" s="3">
        <v>14.63</v>
      </c>
      <c r="H47" s="3">
        <v>14.63</v>
      </c>
    </row>
    <row r="48" spans="1:8" x14ac:dyDescent="0.25">
      <c r="A48" s="2" t="s">
        <v>58</v>
      </c>
      <c r="B48" s="2" t="s">
        <v>8</v>
      </c>
      <c r="C48" s="2" t="s">
        <v>44</v>
      </c>
      <c r="D48" s="2" t="s">
        <v>58</v>
      </c>
      <c r="E48" s="9">
        <v>42349</v>
      </c>
      <c r="F48" s="9">
        <v>42344</v>
      </c>
      <c r="G48" s="3">
        <v>36.58</v>
      </c>
      <c r="H48" s="3">
        <v>36.58</v>
      </c>
    </row>
    <row r="49" spans="1:8" x14ac:dyDescent="0.25">
      <c r="A49" s="2" t="s">
        <v>59</v>
      </c>
      <c r="B49" s="2" t="s">
        <v>8</v>
      </c>
      <c r="C49" s="2" t="s">
        <v>60</v>
      </c>
      <c r="D49" s="2" t="s">
        <v>59</v>
      </c>
      <c r="E49" s="9">
        <v>42020</v>
      </c>
      <c r="F49" s="9">
        <v>42015</v>
      </c>
      <c r="G49" s="3">
        <v>12.4</v>
      </c>
      <c r="H49" s="3">
        <v>2559.1999999999998</v>
      </c>
    </row>
    <row r="50" spans="1:8" x14ac:dyDescent="0.25">
      <c r="A50" s="2" t="s">
        <v>61</v>
      </c>
      <c r="B50" s="2" t="s">
        <v>8</v>
      </c>
      <c r="C50" s="2" t="s">
        <v>60</v>
      </c>
      <c r="D50" s="2" t="s">
        <v>61</v>
      </c>
      <c r="E50" s="9">
        <v>42027</v>
      </c>
      <c r="F50" s="9">
        <v>42022</v>
      </c>
      <c r="G50" s="3">
        <v>12.4</v>
      </c>
      <c r="H50" s="3">
        <v>2559.1999999999998</v>
      </c>
    </row>
    <row r="51" spans="1:8" x14ac:dyDescent="0.25">
      <c r="A51" s="2" t="s">
        <v>62</v>
      </c>
      <c r="B51" s="2" t="s">
        <v>8</v>
      </c>
      <c r="C51" s="2" t="s">
        <v>60</v>
      </c>
      <c r="D51" s="2" t="s">
        <v>62</v>
      </c>
      <c r="E51" s="9">
        <v>42034</v>
      </c>
      <c r="F51" s="9">
        <v>42029</v>
      </c>
      <c r="G51" s="3">
        <v>2047.36</v>
      </c>
      <c r="H51" s="3">
        <v>2047.36</v>
      </c>
    </row>
    <row r="52" spans="1:8" x14ac:dyDescent="0.25">
      <c r="A52" s="2" t="s">
        <v>63</v>
      </c>
      <c r="B52" s="2" t="s">
        <v>8</v>
      </c>
      <c r="C52" s="2" t="s">
        <v>60</v>
      </c>
      <c r="D52" s="2" t="s">
        <v>63</v>
      </c>
      <c r="E52" s="9">
        <v>42041</v>
      </c>
      <c r="F52" s="9">
        <v>42036</v>
      </c>
      <c r="G52" s="3">
        <v>2559.1999999999998</v>
      </c>
      <c r="H52" s="3">
        <v>2559.1999999999998</v>
      </c>
    </row>
    <row r="53" spans="1:8" x14ac:dyDescent="0.25">
      <c r="A53" s="2" t="s">
        <v>64</v>
      </c>
      <c r="B53" s="2" t="s">
        <v>8</v>
      </c>
      <c r="C53" s="2" t="s">
        <v>60</v>
      </c>
      <c r="D53" s="2" t="s">
        <v>64</v>
      </c>
      <c r="E53" s="9">
        <v>42097</v>
      </c>
      <c r="F53" s="9">
        <v>42092</v>
      </c>
      <c r="G53" s="3">
        <v>2559.1999999999998</v>
      </c>
      <c r="H53" s="3">
        <v>2559.1999999999998</v>
      </c>
    </row>
    <row r="54" spans="1:8" x14ac:dyDescent="0.25">
      <c r="A54" s="2" t="s">
        <v>65</v>
      </c>
      <c r="B54" s="2" t="s">
        <v>8</v>
      </c>
      <c r="C54" s="2" t="s">
        <v>60</v>
      </c>
      <c r="D54" s="2" t="s">
        <v>65</v>
      </c>
      <c r="E54" s="9">
        <v>42104</v>
      </c>
      <c r="F54" s="9">
        <v>42099</v>
      </c>
      <c r="G54" s="3">
        <v>2047.36</v>
      </c>
      <c r="H54" s="3">
        <v>2047.36</v>
      </c>
    </row>
    <row r="55" spans="1:8" x14ac:dyDescent="0.25">
      <c r="A55" s="2" t="s">
        <v>66</v>
      </c>
      <c r="B55" s="2" t="s">
        <v>8</v>
      </c>
      <c r="C55" s="2" t="s">
        <v>60</v>
      </c>
      <c r="D55" s="2" t="s">
        <v>66</v>
      </c>
      <c r="E55" s="9">
        <v>42111</v>
      </c>
      <c r="F55" s="9">
        <v>42106</v>
      </c>
      <c r="G55" s="3">
        <v>2559.1999999999998</v>
      </c>
      <c r="H55" s="3">
        <v>2559.1999999999998</v>
      </c>
    </row>
    <row r="56" spans="1:8" x14ac:dyDescent="0.25">
      <c r="A56" s="2" t="s">
        <v>67</v>
      </c>
      <c r="B56" s="2" t="s">
        <v>8</v>
      </c>
      <c r="C56" s="2" t="s">
        <v>60</v>
      </c>
      <c r="D56" s="2" t="s">
        <v>67</v>
      </c>
      <c r="E56" s="9">
        <v>42041</v>
      </c>
      <c r="F56" s="9"/>
      <c r="G56" s="3">
        <v>1484.7</v>
      </c>
      <c r="H56" s="3">
        <v>1484.7</v>
      </c>
    </row>
    <row r="57" spans="1:8" x14ac:dyDescent="0.25">
      <c r="A57" s="2" t="s">
        <v>68</v>
      </c>
      <c r="B57" s="2" t="s">
        <v>8</v>
      </c>
      <c r="C57" s="2" t="s">
        <v>60</v>
      </c>
      <c r="D57" s="2" t="s">
        <v>68</v>
      </c>
      <c r="E57" s="9">
        <v>42104</v>
      </c>
      <c r="F57" s="9"/>
      <c r="G57" s="3">
        <v>1089.8900000000001</v>
      </c>
      <c r="H57" s="3">
        <v>1089.8900000000001</v>
      </c>
    </row>
    <row r="58" spans="1:8" x14ac:dyDescent="0.25">
      <c r="A58" s="2" t="s">
        <v>69</v>
      </c>
      <c r="B58" s="2" t="s">
        <v>8</v>
      </c>
      <c r="C58" s="2" t="s">
        <v>60</v>
      </c>
      <c r="D58" s="2" t="s">
        <v>69</v>
      </c>
      <c r="E58" s="9">
        <v>42114</v>
      </c>
      <c r="F58" s="9"/>
      <c r="G58" s="3">
        <v>3260.37</v>
      </c>
      <c r="H58" s="3">
        <v>3260.37</v>
      </c>
    </row>
    <row r="59" spans="1:8" x14ac:dyDescent="0.25">
      <c r="A59" s="2" t="s">
        <v>70</v>
      </c>
      <c r="B59" s="2" t="s">
        <v>8</v>
      </c>
      <c r="C59" s="2" t="s">
        <v>71</v>
      </c>
      <c r="D59" s="2" t="s">
        <v>70</v>
      </c>
      <c r="E59" s="9">
        <v>42104</v>
      </c>
      <c r="F59" s="9">
        <v>42099</v>
      </c>
      <c r="G59" s="3">
        <v>2149.77</v>
      </c>
      <c r="H59" s="3">
        <v>2149.77</v>
      </c>
    </row>
    <row r="60" spans="1:8" x14ac:dyDescent="0.25">
      <c r="A60" s="2" t="s">
        <v>72</v>
      </c>
      <c r="B60" s="2" t="s">
        <v>8</v>
      </c>
      <c r="C60" s="2" t="s">
        <v>71</v>
      </c>
      <c r="D60" s="2" t="s">
        <v>72</v>
      </c>
      <c r="E60" s="9">
        <v>42111</v>
      </c>
      <c r="F60" s="9">
        <v>42106</v>
      </c>
      <c r="G60" s="3">
        <v>4299.54</v>
      </c>
      <c r="H60" s="3">
        <v>4299.54</v>
      </c>
    </row>
    <row r="61" spans="1:8" x14ac:dyDescent="0.25">
      <c r="A61" s="2" t="s">
        <v>73</v>
      </c>
      <c r="B61" s="2" t="s">
        <v>8</v>
      </c>
      <c r="C61" s="2" t="s">
        <v>71</v>
      </c>
      <c r="D61" s="2" t="s">
        <v>73</v>
      </c>
      <c r="E61" s="9">
        <v>42118</v>
      </c>
      <c r="F61" s="9">
        <v>42113</v>
      </c>
      <c r="G61" s="3">
        <v>4094.8</v>
      </c>
      <c r="H61" s="3">
        <v>4094.8</v>
      </c>
    </row>
    <row r="62" spans="1:8" x14ac:dyDescent="0.25">
      <c r="A62" s="2" t="s">
        <v>74</v>
      </c>
      <c r="B62" s="2" t="s">
        <v>8</v>
      </c>
      <c r="C62" s="2" t="s">
        <v>71</v>
      </c>
      <c r="D62" s="2" t="s">
        <v>74</v>
      </c>
      <c r="E62" s="9">
        <v>42300</v>
      </c>
      <c r="F62" s="9">
        <v>42295</v>
      </c>
      <c r="G62" s="3">
        <v>4094.8</v>
      </c>
      <c r="H62" s="3">
        <v>4094.8</v>
      </c>
    </row>
    <row r="63" spans="1:8" x14ac:dyDescent="0.25">
      <c r="A63" s="2" t="s">
        <v>75</v>
      </c>
      <c r="B63" s="2" t="s">
        <v>8</v>
      </c>
      <c r="C63" s="2" t="s">
        <v>71</v>
      </c>
      <c r="D63" s="2" t="s">
        <v>75</v>
      </c>
      <c r="E63" s="9">
        <v>42307</v>
      </c>
      <c r="F63" s="9">
        <v>42302</v>
      </c>
      <c r="G63" s="3">
        <v>4504.28</v>
      </c>
      <c r="H63" s="3">
        <v>4504.28</v>
      </c>
    </row>
    <row r="64" spans="1:8" x14ac:dyDescent="0.25">
      <c r="A64" s="2" t="s">
        <v>76</v>
      </c>
      <c r="B64" s="2" t="s">
        <v>8</v>
      </c>
      <c r="C64" s="2" t="s">
        <v>71</v>
      </c>
      <c r="D64" s="2" t="s">
        <v>76</v>
      </c>
      <c r="E64" s="9">
        <v>42314</v>
      </c>
      <c r="F64" s="9">
        <v>42309</v>
      </c>
      <c r="G64" s="3">
        <v>4504.28</v>
      </c>
      <c r="H64" s="3">
        <v>4504.28</v>
      </c>
    </row>
    <row r="65" spans="1:8" x14ac:dyDescent="0.25">
      <c r="A65" s="2" t="s">
        <v>77</v>
      </c>
      <c r="B65" s="2" t="s">
        <v>8</v>
      </c>
      <c r="C65" s="2" t="s">
        <v>71</v>
      </c>
      <c r="D65" s="2" t="s">
        <v>77</v>
      </c>
      <c r="E65" s="9">
        <v>42321</v>
      </c>
      <c r="F65" s="9">
        <v>42316</v>
      </c>
      <c r="G65" s="3">
        <v>4401.91</v>
      </c>
      <c r="H65" s="3">
        <v>4401.91</v>
      </c>
    </row>
    <row r="66" spans="1:8" x14ac:dyDescent="0.25">
      <c r="A66" s="2" t="s">
        <v>78</v>
      </c>
      <c r="B66" s="2" t="s">
        <v>8</v>
      </c>
      <c r="C66" s="2" t="s">
        <v>71</v>
      </c>
      <c r="D66" s="2" t="s">
        <v>78</v>
      </c>
      <c r="E66" s="9">
        <v>42328</v>
      </c>
      <c r="F66" s="9">
        <v>42323</v>
      </c>
      <c r="G66" s="3">
        <v>4094.8</v>
      </c>
      <c r="H66" s="3">
        <v>4094.8</v>
      </c>
    </row>
    <row r="67" spans="1:8" x14ac:dyDescent="0.25">
      <c r="A67" s="2" t="s">
        <v>79</v>
      </c>
      <c r="B67" s="2" t="s">
        <v>8</v>
      </c>
      <c r="C67" s="2" t="s">
        <v>71</v>
      </c>
      <c r="D67" s="2" t="s">
        <v>79</v>
      </c>
      <c r="E67" s="9">
        <v>42335</v>
      </c>
      <c r="F67" s="9">
        <v>42330</v>
      </c>
      <c r="G67" s="3">
        <v>4504.28</v>
      </c>
      <c r="H67" s="3">
        <v>4504.28</v>
      </c>
    </row>
    <row r="68" spans="1:8" x14ac:dyDescent="0.25">
      <c r="A68" s="2" t="s">
        <v>80</v>
      </c>
      <c r="B68" s="2" t="s">
        <v>8</v>
      </c>
      <c r="C68" s="2" t="s">
        <v>71</v>
      </c>
      <c r="D68" s="2" t="s">
        <v>80</v>
      </c>
      <c r="E68" s="9">
        <v>42349</v>
      </c>
      <c r="F68" s="9">
        <v>42337</v>
      </c>
      <c r="G68" s="3">
        <v>2968.73</v>
      </c>
      <c r="H68" s="3">
        <v>2968.73</v>
      </c>
    </row>
    <row r="69" spans="1:8" x14ac:dyDescent="0.25">
      <c r="A69" s="2" t="s">
        <v>81</v>
      </c>
      <c r="B69" s="2" t="s">
        <v>8</v>
      </c>
      <c r="C69" s="2" t="s">
        <v>82</v>
      </c>
      <c r="D69" s="2" t="s">
        <v>81</v>
      </c>
      <c r="E69" s="9">
        <v>42244</v>
      </c>
      <c r="F69" s="9">
        <v>42232</v>
      </c>
      <c r="G69" s="3">
        <v>225.6</v>
      </c>
      <c r="H69" s="3">
        <v>225.6</v>
      </c>
    </row>
    <row r="70" spans="1:8" x14ac:dyDescent="0.25">
      <c r="A70" s="2" t="s">
        <v>83</v>
      </c>
      <c r="B70" s="2" t="s">
        <v>8</v>
      </c>
      <c r="C70" s="2" t="s">
        <v>82</v>
      </c>
      <c r="D70" s="2" t="s">
        <v>83</v>
      </c>
      <c r="E70" s="9">
        <v>42251</v>
      </c>
      <c r="F70" s="9">
        <v>42246</v>
      </c>
      <c r="G70" s="3">
        <v>225.6</v>
      </c>
      <c r="H70" s="3">
        <v>225.6</v>
      </c>
    </row>
    <row r="71" spans="1:8" x14ac:dyDescent="0.25">
      <c r="A71" s="2" t="s">
        <v>84</v>
      </c>
      <c r="B71" s="2" t="s">
        <v>8</v>
      </c>
      <c r="C71" s="2" t="s">
        <v>82</v>
      </c>
      <c r="D71" s="2" t="s">
        <v>84</v>
      </c>
      <c r="E71" s="9">
        <v>42258</v>
      </c>
      <c r="F71" s="9">
        <v>42253</v>
      </c>
      <c r="G71" s="3">
        <v>225.6</v>
      </c>
      <c r="H71" s="3">
        <v>225.6</v>
      </c>
    </row>
    <row r="72" spans="1:8" x14ac:dyDescent="0.25">
      <c r="A72" s="2" t="s">
        <v>85</v>
      </c>
      <c r="B72" s="2" t="s">
        <v>8</v>
      </c>
      <c r="C72" s="2" t="s">
        <v>82</v>
      </c>
      <c r="D72" s="2" t="s">
        <v>85</v>
      </c>
      <c r="E72" s="9">
        <v>42279</v>
      </c>
      <c r="F72" s="9">
        <v>42274</v>
      </c>
      <c r="G72" s="3">
        <v>225.6</v>
      </c>
      <c r="H72" s="3">
        <v>225.6</v>
      </c>
    </row>
    <row r="73" spans="1:8" x14ac:dyDescent="0.25">
      <c r="A73" s="2" t="s">
        <v>86</v>
      </c>
      <c r="B73" s="2" t="s">
        <v>8</v>
      </c>
      <c r="C73" s="2" t="s">
        <v>82</v>
      </c>
      <c r="D73" s="2" t="s">
        <v>86</v>
      </c>
      <c r="E73" s="9">
        <v>42300</v>
      </c>
      <c r="F73" s="9">
        <v>42295</v>
      </c>
      <c r="G73" s="3">
        <v>225.6</v>
      </c>
      <c r="H73" s="3">
        <v>225.6</v>
      </c>
    </row>
    <row r="74" spans="1:8" x14ac:dyDescent="0.25">
      <c r="A74" s="2" t="s">
        <v>87</v>
      </c>
      <c r="B74" s="2" t="s">
        <v>8</v>
      </c>
      <c r="C74" s="2" t="s">
        <v>82</v>
      </c>
      <c r="D74" s="2" t="s">
        <v>87</v>
      </c>
      <c r="E74" s="9">
        <v>42307</v>
      </c>
      <c r="F74" s="9">
        <v>42302</v>
      </c>
      <c r="G74" s="3">
        <v>225.6</v>
      </c>
      <c r="H74" s="3">
        <v>225.6</v>
      </c>
    </row>
    <row r="75" spans="1:8" x14ac:dyDescent="0.25">
      <c r="A75" s="2" t="s">
        <v>88</v>
      </c>
      <c r="B75" s="2" t="s">
        <v>8</v>
      </c>
      <c r="C75" s="2" t="s">
        <v>82</v>
      </c>
      <c r="D75" s="2" t="s">
        <v>88</v>
      </c>
      <c r="E75" s="9">
        <v>42314</v>
      </c>
      <c r="F75" s="9">
        <v>42309</v>
      </c>
      <c r="G75" s="3">
        <v>225.6</v>
      </c>
      <c r="H75" s="3">
        <v>225.6</v>
      </c>
    </row>
    <row r="76" spans="1:8" x14ac:dyDescent="0.25">
      <c r="A76" s="2" t="s">
        <v>89</v>
      </c>
      <c r="B76" s="2" t="s">
        <v>8</v>
      </c>
      <c r="C76" s="2" t="s">
        <v>82</v>
      </c>
      <c r="D76" s="2" t="s">
        <v>89</v>
      </c>
      <c r="E76" s="9">
        <v>42321</v>
      </c>
      <c r="F76" s="9">
        <v>42316</v>
      </c>
      <c r="G76" s="3">
        <v>225.6</v>
      </c>
      <c r="H76" s="3">
        <v>225.6</v>
      </c>
    </row>
    <row r="77" spans="1:8" x14ac:dyDescent="0.25">
      <c r="A77" s="2" t="s">
        <v>90</v>
      </c>
      <c r="B77" s="2" t="s">
        <v>8</v>
      </c>
      <c r="C77" s="2" t="s">
        <v>82</v>
      </c>
      <c r="D77" s="2" t="s">
        <v>90</v>
      </c>
      <c r="E77" s="9">
        <v>42328</v>
      </c>
      <c r="F77" s="9">
        <v>42323</v>
      </c>
      <c r="G77" s="3">
        <v>225.6</v>
      </c>
      <c r="H77" s="3">
        <v>225.6</v>
      </c>
    </row>
    <row r="78" spans="1:8" x14ac:dyDescent="0.25">
      <c r="A78" s="2" t="s">
        <v>91</v>
      </c>
      <c r="B78" s="2" t="s">
        <v>8</v>
      </c>
      <c r="C78" s="2" t="s">
        <v>82</v>
      </c>
      <c r="D78" s="2" t="s">
        <v>91</v>
      </c>
      <c r="E78" s="9">
        <v>42335</v>
      </c>
      <c r="F78" s="9">
        <v>42330</v>
      </c>
      <c r="G78" s="3">
        <v>225.6</v>
      </c>
      <c r="H78" s="3">
        <v>225.6</v>
      </c>
    </row>
    <row r="79" spans="1:8" x14ac:dyDescent="0.25">
      <c r="A79" s="2" t="s">
        <v>92</v>
      </c>
      <c r="B79" s="2" t="s">
        <v>8</v>
      </c>
      <c r="C79" s="2" t="s">
        <v>82</v>
      </c>
      <c r="D79" s="2" t="s">
        <v>92</v>
      </c>
      <c r="E79" s="9">
        <v>42342</v>
      </c>
      <c r="F79" s="9">
        <v>42337</v>
      </c>
      <c r="G79" s="3">
        <v>225.6</v>
      </c>
      <c r="H79" s="3">
        <v>225.6</v>
      </c>
    </row>
    <row r="80" spans="1:8" x14ac:dyDescent="0.25">
      <c r="A80" s="2" t="s">
        <v>93</v>
      </c>
      <c r="B80" s="2" t="s">
        <v>8</v>
      </c>
      <c r="C80" s="2" t="s">
        <v>82</v>
      </c>
      <c r="D80" s="2" t="s">
        <v>93</v>
      </c>
      <c r="E80" s="9">
        <v>42349</v>
      </c>
      <c r="F80" s="9">
        <v>42344</v>
      </c>
      <c r="G80" s="3">
        <v>225.6</v>
      </c>
      <c r="H80" s="3">
        <v>225.6</v>
      </c>
    </row>
    <row r="81" spans="1:8" x14ac:dyDescent="0.25">
      <c r="A81" s="2" t="s">
        <v>94</v>
      </c>
      <c r="B81" s="2" t="s">
        <v>8</v>
      </c>
      <c r="C81" s="2" t="s">
        <v>95</v>
      </c>
      <c r="D81" s="2" t="s">
        <v>94</v>
      </c>
      <c r="E81" s="9">
        <v>42097</v>
      </c>
      <c r="F81" s="9">
        <v>42092</v>
      </c>
      <c r="G81" s="3">
        <v>75.25</v>
      </c>
      <c r="H81" s="3">
        <v>75.25</v>
      </c>
    </row>
    <row r="82" spans="1:8" x14ac:dyDescent="0.25">
      <c r="A82" s="2" t="s">
        <v>96</v>
      </c>
      <c r="B82" s="2" t="s">
        <v>8</v>
      </c>
      <c r="C82" s="2" t="s">
        <v>95</v>
      </c>
      <c r="D82" s="2" t="s">
        <v>96</v>
      </c>
      <c r="E82" s="9">
        <v>42104</v>
      </c>
      <c r="F82" s="9">
        <v>42099</v>
      </c>
      <c r="G82" s="3">
        <v>74.63</v>
      </c>
      <c r="H82" s="3">
        <v>74.63</v>
      </c>
    </row>
    <row r="83" spans="1:8" x14ac:dyDescent="0.25">
      <c r="A83" s="2" t="s">
        <v>97</v>
      </c>
      <c r="B83" s="2" t="s">
        <v>8</v>
      </c>
      <c r="C83" s="2" t="s">
        <v>95</v>
      </c>
      <c r="D83" s="2" t="s">
        <v>97</v>
      </c>
      <c r="E83" s="9">
        <v>42111</v>
      </c>
      <c r="F83" s="9">
        <v>42106</v>
      </c>
      <c r="G83" s="3">
        <v>69.38</v>
      </c>
      <c r="H83" s="3">
        <v>69.38</v>
      </c>
    </row>
    <row r="84" spans="1:8" x14ac:dyDescent="0.25">
      <c r="A84" s="2" t="s">
        <v>98</v>
      </c>
      <c r="B84" s="2" t="s">
        <v>8</v>
      </c>
      <c r="C84" s="2" t="s">
        <v>99</v>
      </c>
      <c r="D84" s="2" t="s">
        <v>98</v>
      </c>
      <c r="E84" s="9">
        <v>42321</v>
      </c>
      <c r="F84" s="9">
        <v>42288</v>
      </c>
      <c r="G84" s="3">
        <v>204.88</v>
      </c>
      <c r="H84" s="3">
        <v>204.88</v>
      </c>
    </row>
    <row r="85" spans="1:8" x14ac:dyDescent="0.25">
      <c r="A85" s="2" t="s">
        <v>100</v>
      </c>
      <c r="B85" s="2" t="s">
        <v>8</v>
      </c>
      <c r="C85" s="2" t="s">
        <v>99</v>
      </c>
      <c r="D85" s="2" t="s">
        <v>100</v>
      </c>
      <c r="E85" s="9">
        <v>42328</v>
      </c>
      <c r="F85" s="9">
        <v>42323</v>
      </c>
      <c r="G85" s="3">
        <v>243.3</v>
      </c>
      <c r="H85" s="3">
        <v>243.3</v>
      </c>
    </row>
    <row r="86" spans="1:8" x14ac:dyDescent="0.25">
      <c r="A86" s="2" t="s">
        <v>101</v>
      </c>
      <c r="B86" s="2" t="s">
        <v>8</v>
      </c>
      <c r="C86" s="2" t="s">
        <v>99</v>
      </c>
      <c r="D86" s="2" t="s">
        <v>101</v>
      </c>
      <c r="E86" s="9">
        <v>42335</v>
      </c>
      <c r="F86" s="9">
        <v>42330</v>
      </c>
      <c r="G86" s="3">
        <v>256.10000000000002</v>
      </c>
      <c r="H86" s="3">
        <v>256.10000000000002</v>
      </c>
    </row>
    <row r="87" spans="1:8" x14ac:dyDescent="0.25">
      <c r="A87" s="2" t="s">
        <v>102</v>
      </c>
      <c r="B87" s="2" t="s">
        <v>8</v>
      </c>
      <c r="C87" s="2" t="s">
        <v>99</v>
      </c>
      <c r="D87" s="2" t="s">
        <v>102</v>
      </c>
      <c r="E87" s="9">
        <v>42342</v>
      </c>
      <c r="F87" s="9">
        <v>42337</v>
      </c>
      <c r="G87" s="3">
        <v>64.03</v>
      </c>
      <c r="H87" s="3">
        <v>64.03</v>
      </c>
    </row>
    <row r="88" spans="1:8" x14ac:dyDescent="0.25">
      <c r="A88" s="2" t="s">
        <v>103</v>
      </c>
      <c r="B88" s="2" t="s">
        <v>8</v>
      </c>
      <c r="C88" s="2" t="s">
        <v>99</v>
      </c>
      <c r="D88" s="2" t="s">
        <v>103</v>
      </c>
      <c r="E88" s="9">
        <v>42349</v>
      </c>
      <c r="F88" s="9">
        <v>42344</v>
      </c>
      <c r="G88" s="3">
        <v>192.08</v>
      </c>
      <c r="H88" s="3">
        <v>192.08</v>
      </c>
    </row>
    <row r="89" spans="1:8" x14ac:dyDescent="0.25">
      <c r="A89" s="2" t="s">
        <v>104</v>
      </c>
      <c r="B89" s="2" t="s">
        <v>8</v>
      </c>
      <c r="C89" s="2" t="s">
        <v>105</v>
      </c>
      <c r="D89" s="2" t="s">
        <v>104</v>
      </c>
      <c r="E89" s="9">
        <v>42237</v>
      </c>
      <c r="F89" s="9">
        <v>42211</v>
      </c>
      <c r="G89" s="3">
        <v>0.04</v>
      </c>
      <c r="H89" s="3">
        <v>112.2</v>
      </c>
    </row>
    <row r="90" spans="1:8" x14ac:dyDescent="0.25">
      <c r="A90" s="2" t="s">
        <v>106</v>
      </c>
      <c r="B90" s="2" t="s">
        <v>8</v>
      </c>
      <c r="C90" s="2" t="s">
        <v>105</v>
      </c>
      <c r="D90" s="2" t="s">
        <v>106</v>
      </c>
      <c r="E90" s="9">
        <v>42244</v>
      </c>
      <c r="F90" s="9">
        <v>42232</v>
      </c>
      <c r="G90" s="3">
        <v>0.02</v>
      </c>
      <c r="H90" s="3">
        <v>56.1</v>
      </c>
    </row>
    <row r="91" spans="1:8" x14ac:dyDescent="0.25">
      <c r="A91" s="2" t="s">
        <v>107</v>
      </c>
      <c r="B91" s="2" t="s">
        <v>8</v>
      </c>
      <c r="C91" s="2" t="s">
        <v>105</v>
      </c>
      <c r="D91" s="2" t="s">
        <v>107</v>
      </c>
      <c r="E91" s="9">
        <v>42279</v>
      </c>
      <c r="F91" s="9">
        <v>42274</v>
      </c>
      <c r="G91" s="3">
        <v>112.2</v>
      </c>
      <c r="H91" s="3">
        <v>112.2</v>
      </c>
    </row>
    <row r="92" spans="1:8" x14ac:dyDescent="0.25">
      <c r="A92" s="2" t="s">
        <v>108</v>
      </c>
      <c r="B92" s="2" t="s">
        <v>8</v>
      </c>
      <c r="C92" s="2" t="s">
        <v>105</v>
      </c>
      <c r="D92" s="2" t="s">
        <v>108</v>
      </c>
      <c r="E92" s="9">
        <v>42286</v>
      </c>
      <c r="F92" s="9">
        <v>42281</v>
      </c>
      <c r="G92" s="3">
        <v>224.4</v>
      </c>
      <c r="H92" s="3">
        <v>224.4</v>
      </c>
    </row>
    <row r="93" spans="1:8" x14ac:dyDescent="0.25">
      <c r="A93" s="2" t="s">
        <v>109</v>
      </c>
      <c r="B93" s="2" t="s">
        <v>8</v>
      </c>
      <c r="C93" s="2" t="s">
        <v>105</v>
      </c>
      <c r="D93" s="2" t="s">
        <v>109</v>
      </c>
      <c r="E93" s="9">
        <v>42293</v>
      </c>
      <c r="F93" s="9">
        <v>42288</v>
      </c>
      <c r="G93" s="3">
        <v>84.15</v>
      </c>
      <c r="H93" s="3">
        <v>84.15</v>
      </c>
    </row>
    <row r="94" spans="1:8" x14ac:dyDescent="0.25">
      <c r="A94" s="2" t="s">
        <v>110</v>
      </c>
      <c r="B94" s="2" t="s">
        <v>8</v>
      </c>
      <c r="C94" s="2" t="s">
        <v>105</v>
      </c>
      <c r="D94" s="2" t="s">
        <v>110</v>
      </c>
      <c r="E94" s="9">
        <v>42307</v>
      </c>
      <c r="F94" s="9">
        <v>42295</v>
      </c>
      <c r="G94" s="3">
        <v>56.1</v>
      </c>
      <c r="H94" s="3">
        <v>56.1</v>
      </c>
    </row>
    <row r="95" spans="1:8" x14ac:dyDescent="0.25">
      <c r="A95" s="2" t="s">
        <v>111</v>
      </c>
      <c r="B95" s="2" t="s">
        <v>8</v>
      </c>
      <c r="C95" s="2" t="s">
        <v>105</v>
      </c>
      <c r="D95" s="2" t="s">
        <v>111</v>
      </c>
      <c r="E95" s="9">
        <v>42307</v>
      </c>
      <c r="F95" s="9">
        <v>42302</v>
      </c>
      <c r="G95" s="3">
        <v>84.15</v>
      </c>
      <c r="H95" s="3">
        <v>84.15</v>
      </c>
    </row>
    <row r="96" spans="1:8" x14ac:dyDescent="0.25">
      <c r="A96" s="2" t="s">
        <v>112</v>
      </c>
      <c r="B96" s="2" t="s">
        <v>8</v>
      </c>
      <c r="C96" s="2" t="s">
        <v>105</v>
      </c>
      <c r="D96" s="2" t="s">
        <v>112</v>
      </c>
      <c r="E96" s="9">
        <v>42314</v>
      </c>
      <c r="F96" s="9">
        <v>42309</v>
      </c>
      <c r="G96" s="3">
        <v>308.55</v>
      </c>
      <c r="H96" s="3">
        <v>308.55</v>
      </c>
    </row>
    <row r="97" spans="1:8" x14ac:dyDescent="0.25">
      <c r="A97" s="2" t="s">
        <v>113</v>
      </c>
      <c r="B97" s="2" t="s">
        <v>8</v>
      </c>
      <c r="C97" s="2" t="s">
        <v>105</v>
      </c>
      <c r="D97" s="2" t="s">
        <v>113</v>
      </c>
      <c r="E97" s="9">
        <v>42335</v>
      </c>
      <c r="F97" s="9">
        <v>42316</v>
      </c>
      <c r="G97" s="3">
        <v>84.15</v>
      </c>
      <c r="H97" s="3">
        <v>84.15</v>
      </c>
    </row>
    <row r="98" spans="1:8" x14ac:dyDescent="0.25">
      <c r="A98" s="2" t="s">
        <v>114</v>
      </c>
      <c r="B98" s="2" t="s">
        <v>8</v>
      </c>
      <c r="C98" s="2" t="s">
        <v>105</v>
      </c>
      <c r="D98" s="2" t="s">
        <v>114</v>
      </c>
      <c r="E98" s="9">
        <v>42335</v>
      </c>
      <c r="F98" s="9">
        <v>42330</v>
      </c>
      <c r="G98" s="3">
        <v>280.5</v>
      </c>
      <c r="H98" s="3">
        <v>280.5</v>
      </c>
    </row>
    <row r="99" spans="1:8" x14ac:dyDescent="0.25">
      <c r="A99" s="2" t="s">
        <v>115</v>
      </c>
      <c r="B99" s="2" t="s">
        <v>8</v>
      </c>
      <c r="C99" s="2" t="s">
        <v>105</v>
      </c>
      <c r="D99" s="2" t="s">
        <v>115</v>
      </c>
      <c r="E99" s="9">
        <v>42342</v>
      </c>
      <c r="F99" s="9">
        <v>42337</v>
      </c>
      <c r="G99" s="3">
        <v>280.5</v>
      </c>
      <c r="H99" s="3">
        <v>280.5</v>
      </c>
    </row>
    <row r="100" spans="1:8" x14ac:dyDescent="0.25">
      <c r="A100" s="2" t="s">
        <v>116</v>
      </c>
      <c r="B100" s="2" t="s">
        <v>8</v>
      </c>
      <c r="C100" s="2" t="s">
        <v>117</v>
      </c>
      <c r="D100" s="2" t="s">
        <v>116</v>
      </c>
      <c r="E100" s="9">
        <v>42041</v>
      </c>
      <c r="F100" s="9">
        <v>42036</v>
      </c>
      <c r="G100" s="3">
        <v>417.01</v>
      </c>
      <c r="H100" s="3">
        <v>417.01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H9" sqref="H9"/>
    </sheetView>
  </sheetViews>
  <sheetFormatPr defaultColWidth="9" defaultRowHeight="14" x14ac:dyDescent="0.25"/>
  <cols>
    <col min="1" max="1" width="28.54296875" customWidth="1"/>
    <col min="2" max="2" width="17.54296875" customWidth="1"/>
    <col min="3" max="3" width="15.26953125" customWidth="1"/>
    <col min="4" max="5" width="10.453125" style="11" customWidth="1"/>
    <col min="6" max="6" width="36.54296875" customWidth="1"/>
    <col min="7" max="7" width="17.26953125" customWidth="1"/>
    <col min="8" max="8" width="15.26953125" customWidth="1"/>
    <col min="10" max="10" width="66.7265625" customWidth="1"/>
  </cols>
  <sheetData>
    <row r="1" spans="1:10" ht="14.5" x14ac:dyDescent="0.3">
      <c r="A1" s="1" t="s">
        <v>1</v>
      </c>
      <c r="B1" s="1" t="s">
        <v>2</v>
      </c>
      <c r="C1" s="1" t="s">
        <v>0</v>
      </c>
      <c r="D1" s="12" t="s">
        <v>3</v>
      </c>
      <c r="E1" s="12" t="s">
        <v>4</v>
      </c>
      <c r="F1" s="13" t="s">
        <v>118</v>
      </c>
      <c r="G1" s="14" t="s">
        <v>5</v>
      </c>
      <c r="H1" s="15" t="s">
        <v>6</v>
      </c>
    </row>
    <row r="2" spans="1:10" ht="21.75" customHeight="1" x14ac:dyDescent="0.35">
      <c r="A2" t="str">
        <f>VLOOKUP(C2,'Master Data'!A1:H100,2,FALSE)</f>
        <v>Wolters Kluwer ZCR- Kelly APC2</v>
      </c>
      <c r="B2" t="str">
        <f>VLOOKUP(C2,'Master Data'!A1:H100,3,FALSE)</f>
        <v>Adams,Celeste</v>
      </c>
      <c r="C2" s="2" t="s">
        <v>13</v>
      </c>
      <c r="D2" s="11">
        <f>VLOOKUP(C2,'Master Data'!A1:H100,5,FALSE)</f>
        <v>42342</v>
      </c>
      <c r="E2" s="11">
        <f>VLOOKUP(C2,'Master Data'!A1:H100,6,FALSE)</f>
        <v>42337</v>
      </c>
      <c r="F2" s="16" t="s">
        <v>119</v>
      </c>
      <c r="G2">
        <f>VLOOKUP(C2,'Master Data'!D2:G100,4,0)</f>
        <v>514.15</v>
      </c>
      <c r="H2">
        <f>VLOOKUP(C2,'Master Data'!D2:H100,5,0)</f>
        <v>514.15</v>
      </c>
      <c r="J2" s="5" t="s">
        <v>120</v>
      </c>
    </row>
    <row r="3" spans="1:10" x14ac:dyDescent="0.25">
      <c r="A3" t="str">
        <f>VLOOKUP(C3,'Master Data'!A2:H101,2,FALSE)</f>
        <v>Wolters Kluwer ZCR- Kelly APC2</v>
      </c>
      <c r="B3" t="str">
        <f>VLOOKUP(C3,'Master Data'!A2:H101,3,FALSE)</f>
        <v>Alvord,Maria</v>
      </c>
      <c r="C3" s="2" t="s">
        <v>55</v>
      </c>
      <c r="D3" s="11">
        <f>VLOOKUP(C3,'Master Data'!A2:H101,5,FALSE)</f>
        <v>42328</v>
      </c>
      <c r="E3" s="11">
        <f>VLOOKUP(C3,'Master Data'!A2:H101,6,FALSE)</f>
        <v>42323</v>
      </c>
      <c r="G3">
        <f>VLOOKUP(C3,'Master Data'!D3:G101,4,0)</f>
        <v>73.150000000000006</v>
      </c>
      <c r="H3">
        <f>VLOOKUP(C3,'Master Data'!D3:H101,5,0)</f>
        <v>73.150000000000006</v>
      </c>
    </row>
    <row r="4" spans="1:10" x14ac:dyDescent="0.25">
      <c r="A4" t="str">
        <f>VLOOKUP(C4,'Master Data'!A3:H102,2,FALSE)</f>
        <v>Wolters Kluwer ZCR- Kelly APC2</v>
      </c>
      <c r="B4" t="str">
        <f>VLOOKUP(C4,'Master Data'!A3:H102,3,FALSE)</f>
        <v>Anderson,Daniel</v>
      </c>
      <c r="C4" s="2" t="s">
        <v>61</v>
      </c>
      <c r="D4" s="11">
        <f>VLOOKUP(C4,'Master Data'!A3:H102,5,FALSE)</f>
        <v>42027</v>
      </c>
      <c r="E4" s="11">
        <f>VLOOKUP(C4,'Master Data'!A3:H102,6,FALSE)</f>
        <v>42022</v>
      </c>
      <c r="G4">
        <f>VLOOKUP(C4,'Master Data'!D4:G102,4,0)</f>
        <v>12.4</v>
      </c>
      <c r="H4">
        <f>VLOOKUP(C4,'Master Data'!D4:H102,5,0)</f>
        <v>2559.1999999999998</v>
      </c>
      <c r="J4" t="s">
        <v>121</v>
      </c>
    </row>
    <row r="5" spans="1:10" x14ac:dyDescent="0.25">
      <c r="A5" t="str">
        <f>VLOOKUP(C5,'Master Data'!A4:H103,2,FALSE)</f>
        <v>Wolters Kluwer ZCR- Kelly APC2</v>
      </c>
      <c r="B5" t="str">
        <f>VLOOKUP(C5,'Master Data'!A4:H103,3,FALSE)</f>
        <v>Anderson,Daniel</v>
      </c>
      <c r="C5" s="2" t="s">
        <v>63</v>
      </c>
      <c r="D5" s="11">
        <f>VLOOKUP(C5,'Master Data'!A4:H103,5,FALSE)</f>
        <v>42041</v>
      </c>
      <c r="E5" s="11">
        <f>VLOOKUP(C5,'Master Data'!A4:H103,6,FALSE)</f>
        <v>42036</v>
      </c>
      <c r="G5">
        <f>VLOOKUP(C5,'Master Data'!D5:G103,4,0)</f>
        <v>2559.1999999999998</v>
      </c>
      <c r="H5">
        <f>VLOOKUP(C5,'Master Data'!D5:H103,5,0)</f>
        <v>2559.1999999999998</v>
      </c>
      <c r="J5" s="2" t="s">
        <v>13</v>
      </c>
    </row>
    <row r="6" spans="1:10" x14ac:dyDescent="0.25">
      <c r="A6" t="str">
        <f>VLOOKUP(C6,'Master Data'!A5:H104,2,FALSE)</f>
        <v>Wolters Kluwer ZCR- Kelly APC2</v>
      </c>
      <c r="B6" t="str">
        <f>VLOOKUP(C6,'Master Data'!A5:H104,3,FALSE)</f>
        <v>Andos III,Nicholas</v>
      </c>
      <c r="C6" s="2" t="s">
        <v>79</v>
      </c>
      <c r="D6" s="11">
        <f>VLOOKUP(C6,'Master Data'!A5:H104,5,FALSE)</f>
        <v>42335</v>
      </c>
      <c r="E6" s="11">
        <f>VLOOKUP(C6,'Master Data'!A5:H104,6,FALSE)</f>
        <v>42330</v>
      </c>
      <c r="G6">
        <f>VLOOKUP(C6,'Master Data'!D6:G104,4,0)</f>
        <v>4504.28</v>
      </c>
      <c r="H6">
        <f>VLOOKUP(C6,'Master Data'!D6:H104,5,0)</f>
        <v>4504.28</v>
      </c>
      <c r="J6" s="2" t="s">
        <v>55</v>
      </c>
    </row>
    <row r="7" spans="1:10" x14ac:dyDescent="0.25">
      <c r="A7" t="str">
        <f>VLOOKUP(C7,'Master Data'!A6:H105,2,FALSE)</f>
        <v>Wolters Kluwer ZCR- Kelly APC2</v>
      </c>
      <c r="B7" t="str">
        <f>VLOOKUP(C7,'Master Data'!A6:H105,3,FALSE)</f>
        <v>Andrews,Laura</v>
      </c>
      <c r="C7" s="2" t="s">
        <v>92</v>
      </c>
      <c r="D7" s="11">
        <f>VLOOKUP(C7,'Master Data'!A6:H105,5,FALSE)</f>
        <v>42342</v>
      </c>
      <c r="E7" s="11">
        <f>VLOOKUP(C7,'Master Data'!A6:H105,6,FALSE)</f>
        <v>42337</v>
      </c>
      <c r="G7">
        <f>VLOOKUP(C7,'Master Data'!D7:G105,4,0)</f>
        <v>225.6</v>
      </c>
      <c r="H7">
        <f>VLOOKUP(C7,'Master Data'!D7:H105,5,0)</f>
        <v>225.6</v>
      </c>
      <c r="J7" s="2" t="s">
        <v>61</v>
      </c>
    </row>
    <row r="8" spans="1:10" x14ac:dyDescent="0.25">
      <c r="A8" t="str">
        <f>VLOOKUP(C8,'Master Data'!A7:H106,2,FALSE)</f>
        <v>Wolters Kluwer ZCR- Kelly APC2</v>
      </c>
      <c r="B8" t="str">
        <f>VLOOKUP(C8,'Master Data'!A7:H106,3,FALSE)</f>
        <v>Archuleta,Jennifer</v>
      </c>
      <c r="C8" s="2" t="s">
        <v>103</v>
      </c>
      <c r="D8" s="11">
        <f>VLOOKUP(C8,'Master Data'!A7:H106,5,FALSE)</f>
        <v>42349</v>
      </c>
      <c r="E8" s="11">
        <f>VLOOKUP(C8,'Master Data'!A7:H106,6,FALSE)</f>
        <v>42344</v>
      </c>
      <c r="G8">
        <f>VLOOKUP(C8,'Master Data'!D8:G106,4,0)</f>
        <v>192.08</v>
      </c>
      <c r="H8">
        <f>VLOOKUP(C8,'Master Data'!D8:H106,5,0)</f>
        <v>192.08</v>
      </c>
      <c r="J8" s="2" t="s">
        <v>63</v>
      </c>
    </row>
    <row r="9" spans="1:10" x14ac:dyDescent="0.25">
      <c r="A9" t="str">
        <f>VLOOKUP(C9,'Master Data'!A8:H107,2,FALSE)</f>
        <v>Wolters Kluwer ZCR- Kelly APC2</v>
      </c>
      <c r="B9" t="str">
        <f>VLOOKUP(C9,'Master Data'!A8:H107,3,FALSE)</f>
        <v>Anderson,Daniel</v>
      </c>
      <c r="C9" s="2" t="s">
        <v>64</v>
      </c>
      <c r="D9" s="11">
        <f>VLOOKUP(C9,'Master Data'!A8:H107,5,FALSE)</f>
        <v>42097</v>
      </c>
      <c r="E9" s="11">
        <f>VLOOKUP(C9,'Master Data'!A8:H107,6,FALSE)</f>
        <v>42092</v>
      </c>
      <c r="G9">
        <f>VLOOKUP(C9,'Master Data'!D9:G107,4,0)</f>
        <v>2559.1999999999998</v>
      </c>
      <c r="H9">
        <f>VLOOKUP(C9,'Master Data'!D9:H107,5,0)</f>
        <v>2559.1999999999998</v>
      </c>
      <c r="J9" s="2" t="s">
        <v>79</v>
      </c>
    </row>
    <row r="10" spans="1:10" x14ac:dyDescent="0.25">
      <c r="J10" s="2" t="s">
        <v>92</v>
      </c>
    </row>
    <row r="11" spans="1:10" x14ac:dyDescent="0.25">
      <c r="J11" s="2" t="s">
        <v>103</v>
      </c>
    </row>
    <row r="12" spans="1:10" x14ac:dyDescent="0.25">
      <c r="J12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workbookViewId="0">
      <selection activeCell="C2" sqref="C2"/>
    </sheetView>
  </sheetViews>
  <sheetFormatPr defaultColWidth="9" defaultRowHeight="14" x14ac:dyDescent="0.25"/>
  <cols>
    <col min="1" max="1" width="18" customWidth="1"/>
    <col min="2" max="2" width="9.36328125" customWidth="1"/>
    <col min="3" max="3" width="10.08984375" bestFit="1" customWidth="1"/>
    <col min="4" max="4" width="9.81640625" bestFit="1" customWidth="1"/>
    <col min="7" max="7" width="10.453125" customWidth="1"/>
  </cols>
  <sheetData>
    <row r="1" spans="1:7" ht="15" x14ac:dyDescent="0.35">
      <c r="A1" s="1" t="s">
        <v>2</v>
      </c>
      <c r="B1" s="1"/>
      <c r="C1" s="1" t="s">
        <v>128</v>
      </c>
      <c r="D1" s="5" t="s">
        <v>129</v>
      </c>
      <c r="F1" s="5" t="s">
        <v>120</v>
      </c>
    </row>
    <row r="2" spans="1:7" x14ac:dyDescent="0.25">
      <c r="A2" s="2" t="s">
        <v>9</v>
      </c>
      <c r="B2" s="2"/>
      <c r="C2" s="2" t="s">
        <v>131</v>
      </c>
      <c r="D2" t="s">
        <v>132</v>
      </c>
    </row>
    <row r="3" spans="1:7" x14ac:dyDescent="0.25">
      <c r="A3" s="2" t="s">
        <v>122</v>
      </c>
      <c r="B3" s="2"/>
      <c r="C3" s="2" t="s">
        <v>158</v>
      </c>
      <c r="D3" t="s">
        <v>161</v>
      </c>
      <c r="F3" t="s">
        <v>123</v>
      </c>
    </row>
    <row r="4" spans="1:7" x14ac:dyDescent="0.25">
      <c r="A4" s="2" t="s">
        <v>124</v>
      </c>
      <c r="B4" s="2"/>
      <c r="C4" s="2" t="s">
        <v>160</v>
      </c>
      <c r="D4" t="s">
        <v>184</v>
      </c>
    </row>
    <row r="5" spans="1:7" x14ac:dyDescent="0.25">
      <c r="A5" s="2" t="s">
        <v>125</v>
      </c>
      <c r="B5" s="2"/>
      <c r="C5" s="2" t="s">
        <v>157</v>
      </c>
      <c r="D5" t="s">
        <v>162</v>
      </c>
      <c r="F5" s="4" t="s">
        <v>126</v>
      </c>
      <c r="G5" s="4"/>
    </row>
    <row r="6" spans="1:7" ht="15" x14ac:dyDescent="0.35">
      <c r="A6" s="2" t="s">
        <v>127</v>
      </c>
      <c r="B6" s="2"/>
      <c r="C6" s="2" t="s">
        <v>164</v>
      </c>
      <c r="D6" t="s">
        <v>165</v>
      </c>
      <c r="F6" s="10" t="s">
        <v>128</v>
      </c>
      <c r="G6" s="10" t="s">
        <v>129</v>
      </c>
    </row>
    <row r="7" spans="1:7" x14ac:dyDescent="0.25">
      <c r="A7" s="2" t="s">
        <v>130</v>
      </c>
      <c r="B7" s="2"/>
      <c r="C7" s="2" t="s">
        <v>185</v>
      </c>
      <c r="D7" t="s">
        <v>167</v>
      </c>
      <c r="F7" s="4" t="s">
        <v>131</v>
      </c>
      <c r="G7" s="4" t="s">
        <v>132</v>
      </c>
    </row>
    <row r="8" spans="1:7" x14ac:dyDescent="0.25">
      <c r="A8" s="2" t="s">
        <v>133</v>
      </c>
      <c r="B8" s="2"/>
      <c r="C8" s="2" t="s">
        <v>168</v>
      </c>
      <c r="D8" t="s">
        <v>169</v>
      </c>
    </row>
    <row r="9" spans="1:7" x14ac:dyDescent="0.25">
      <c r="A9" s="2" t="s">
        <v>134</v>
      </c>
      <c r="B9" s="2"/>
      <c r="C9" s="2" t="s">
        <v>170</v>
      </c>
      <c r="D9" t="s">
        <v>173</v>
      </c>
    </row>
    <row r="10" spans="1:7" x14ac:dyDescent="0.25">
      <c r="A10" s="2" t="s">
        <v>135</v>
      </c>
      <c r="B10" s="2"/>
      <c r="C10" s="2" t="s">
        <v>172</v>
      </c>
      <c r="D10" t="s">
        <v>175</v>
      </c>
    </row>
    <row r="11" spans="1:7" x14ac:dyDescent="0.25">
      <c r="A11" s="2" t="s">
        <v>136</v>
      </c>
      <c r="B11" s="2"/>
      <c r="C11" s="2" t="s">
        <v>174</v>
      </c>
      <c r="D11" t="s">
        <v>177</v>
      </c>
    </row>
    <row r="12" spans="1:7" x14ac:dyDescent="0.25">
      <c r="A12" s="2" t="s">
        <v>137</v>
      </c>
      <c r="B12" s="2"/>
      <c r="C12" s="2" t="s">
        <v>176</v>
      </c>
      <c r="D12" t="s">
        <v>170</v>
      </c>
    </row>
    <row r="13" spans="1:7" x14ac:dyDescent="0.25">
      <c r="A13" s="2" t="s">
        <v>138</v>
      </c>
      <c r="B13" s="2"/>
      <c r="C13" s="2" t="s">
        <v>131</v>
      </c>
      <c r="D13" t="s">
        <v>161</v>
      </c>
    </row>
    <row r="14" spans="1:7" x14ac:dyDescent="0.25">
      <c r="A14" s="2" t="s">
        <v>139</v>
      </c>
      <c r="B14" s="2"/>
      <c r="C14" s="2" t="s">
        <v>158</v>
      </c>
      <c r="D14" t="s">
        <v>184</v>
      </c>
    </row>
    <row r="15" spans="1:7" x14ac:dyDescent="0.25">
      <c r="A15" s="2" t="s">
        <v>32</v>
      </c>
      <c r="B15" s="2"/>
      <c r="C15" s="2" t="s">
        <v>160</v>
      </c>
      <c r="D15" t="s">
        <v>162</v>
      </c>
    </row>
    <row r="16" spans="1:7" x14ac:dyDescent="0.25">
      <c r="A16" s="2" t="s">
        <v>140</v>
      </c>
      <c r="B16" s="2"/>
      <c r="C16" s="2" t="s">
        <v>157</v>
      </c>
      <c r="D16" t="s">
        <v>165</v>
      </c>
    </row>
    <row r="17" spans="1:4" x14ac:dyDescent="0.25">
      <c r="A17" s="2" t="s">
        <v>141</v>
      </c>
      <c r="B17" s="2"/>
      <c r="C17" s="2" t="s">
        <v>164</v>
      </c>
      <c r="D17" t="s">
        <v>167</v>
      </c>
    </row>
    <row r="18" spans="1:4" x14ac:dyDescent="0.25">
      <c r="A18" s="2" t="s">
        <v>142</v>
      </c>
      <c r="B18" s="2"/>
      <c r="C18" s="2" t="s">
        <v>185</v>
      </c>
      <c r="D18" t="s">
        <v>169</v>
      </c>
    </row>
    <row r="19" spans="1:4" x14ac:dyDescent="0.25">
      <c r="A19" s="2" t="s">
        <v>143</v>
      </c>
      <c r="B19" s="2"/>
      <c r="C19" s="2" t="s">
        <v>168</v>
      </c>
      <c r="D19" t="s">
        <v>173</v>
      </c>
    </row>
    <row r="20" spans="1:4" x14ac:dyDescent="0.25">
      <c r="A20" s="2" t="s">
        <v>144</v>
      </c>
      <c r="B20" s="2"/>
      <c r="C20" s="2" t="s">
        <v>170</v>
      </c>
      <c r="D20" t="s">
        <v>175</v>
      </c>
    </row>
    <row r="21" spans="1:4" x14ac:dyDescent="0.25">
      <c r="A21" s="2" t="s">
        <v>145</v>
      </c>
      <c r="B21" s="2"/>
      <c r="C21" s="2" t="s">
        <v>172</v>
      </c>
      <c r="D21" t="s">
        <v>177</v>
      </c>
    </row>
    <row r="22" spans="1:4" x14ac:dyDescent="0.25">
      <c r="A22" s="2" t="s">
        <v>146</v>
      </c>
      <c r="B22" s="2"/>
      <c r="C22" s="2" t="s">
        <v>174</v>
      </c>
      <c r="D22" t="s">
        <v>170</v>
      </c>
    </row>
    <row r="23" spans="1:4" x14ac:dyDescent="0.25">
      <c r="A23" s="2" t="s">
        <v>147</v>
      </c>
      <c r="B23" s="2"/>
      <c r="C23" s="2" t="s">
        <v>161</v>
      </c>
      <c r="D23" t="s">
        <v>131</v>
      </c>
    </row>
    <row r="24" spans="1:4" x14ac:dyDescent="0.25">
      <c r="A24" s="2" t="s">
        <v>148</v>
      </c>
      <c r="B24" s="2"/>
      <c r="C24" s="2" t="s">
        <v>184</v>
      </c>
      <c r="D24" t="s">
        <v>158</v>
      </c>
    </row>
    <row r="25" spans="1:4" x14ac:dyDescent="0.25">
      <c r="A25" s="2" t="s">
        <v>149</v>
      </c>
      <c r="B25" s="2"/>
      <c r="C25" s="2" t="s">
        <v>162</v>
      </c>
      <c r="D25" t="s">
        <v>160</v>
      </c>
    </row>
    <row r="26" spans="1:4" x14ac:dyDescent="0.25">
      <c r="A26" s="2" t="s">
        <v>150</v>
      </c>
      <c r="B26" s="2"/>
      <c r="C26" s="2" t="s">
        <v>165</v>
      </c>
      <c r="D26" t="s">
        <v>157</v>
      </c>
    </row>
    <row r="27" spans="1:4" x14ac:dyDescent="0.25">
      <c r="A27" s="2" t="s">
        <v>151</v>
      </c>
      <c r="B27" s="2"/>
      <c r="C27" s="2" t="s">
        <v>167</v>
      </c>
      <c r="D27" t="s">
        <v>164</v>
      </c>
    </row>
    <row r="28" spans="1:4" x14ac:dyDescent="0.25">
      <c r="A28" s="2" t="s">
        <v>152</v>
      </c>
      <c r="B28" s="2"/>
      <c r="C28" s="2" t="s">
        <v>169</v>
      </c>
      <c r="D28" t="s">
        <v>185</v>
      </c>
    </row>
    <row r="29" spans="1:4" x14ac:dyDescent="0.25">
      <c r="A29" s="2" t="s">
        <v>153</v>
      </c>
      <c r="B29" s="2"/>
      <c r="C29" s="2" t="s">
        <v>173</v>
      </c>
      <c r="D29" t="s">
        <v>168</v>
      </c>
    </row>
    <row r="30" spans="1:4" x14ac:dyDescent="0.25">
      <c r="A30" s="2" t="s">
        <v>154</v>
      </c>
      <c r="B30" s="2"/>
      <c r="C30" s="2" t="s">
        <v>175</v>
      </c>
      <c r="D30" t="s">
        <v>170</v>
      </c>
    </row>
    <row r="31" spans="1:4" x14ac:dyDescent="0.25">
      <c r="A31" s="2" t="s">
        <v>155</v>
      </c>
      <c r="B31" s="2"/>
      <c r="C31" s="2" t="s">
        <v>177</v>
      </c>
      <c r="D31" t="s">
        <v>172</v>
      </c>
    </row>
    <row r="32" spans="1:4" x14ac:dyDescent="0.25">
      <c r="A32" s="2" t="s">
        <v>156</v>
      </c>
      <c r="B32" s="2"/>
      <c r="C32" s="2" t="s">
        <v>170</v>
      </c>
      <c r="D32" t="s">
        <v>174</v>
      </c>
    </row>
    <row r="33" spans="1:4" x14ac:dyDescent="0.25">
      <c r="A33" s="2" t="s">
        <v>130</v>
      </c>
      <c r="B33" s="2"/>
      <c r="C33" s="2" t="s">
        <v>185</v>
      </c>
      <c r="D33" t="s">
        <v>167</v>
      </c>
    </row>
    <row r="34" spans="1:4" x14ac:dyDescent="0.25">
      <c r="A34" s="2" t="s">
        <v>133</v>
      </c>
      <c r="B34" s="2"/>
      <c r="C34" s="2" t="s">
        <v>168</v>
      </c>
      <c r="D34" t="s">
        <v>169</v>
      </c>
    </row>
    <row r="35" spans="1:4" x14ac:dyDescent="0.25">
      <c r="A35" s="2" t="s">
        <v>134</v>
      </c>
      <c r="B35" s="2"/>
      <c r="C35" s="2" t="s">
        <v>170</v>
      </c>
      <c r="D35" t="s">
        <v>173</v>
      </c>
    </row>
    <row r="36" spans="1:4" x14ac:dyDescent="0.25">
      <c r="A36" s="2" t="s">
        <v>135</v>
      </c>
      <c r="B36" s="2"/>
      <c r="C36" s="2" t="s">
        <v>172</v>
      </c>
      <c r="D36" t="s">
        <v>175</v>
      </c>
    </row>
    <row r="37" spans="1:4" x14ac:dyDescent="0.25">
      <c r="A37" s="2" t="s">
        <v>136</v>
      </c>
      <c r="B37" s="2"/>
      <c r="C37" s="2" t="s">
        <v>174</v>
      </c>
      <c r="D37" t="s">
        <v>177</v>
      </c>
    </row>
    <row r="38" spans="1:4" x14ac:dyDescent="0.25">
      <c r="A38" s="2" t="s">
        <v>137</v>
      </c>
      <c r="B38" s="2"/>
      <c r="C38" s="2" t="s">
        <v>176</v>
      </c>
      <c r="D38" t="s">
        <v>170</v>
      </c>
    </row>
    <row r="39" spans="1:4" x14ac:dyDescent="0.25">
      <c r="A39" s="2" t="s">
        <v>138</v>
      </c>
      <c r="B39" s="2"/>
      <c r="C39" s="2" t="s">
        <v>131</v>
      </c>
      <c r="D39" t="s">
        <v>161</v>
      </c>
    </row>
    <row r="40" spans="1:4" x14ac:dyDescent="0.25">
      <c r="A40" s="2" t="s">
        <v>139</v>
      </c>
      <c r="B40" s="2"/>
      <c r="C40" s="2" t="s">
        <v>158</v>
      </c>
      <c r="D40" t="s">
        <v>184</v>
      </c>
    </row>
    <row r="41" spans="1:4" x14ac:dyDescent="0.25">
      <c r="A41" s="2" t="s">
        <v>32</v>
      </c>
      <c r="B41" s="2"/>
      <c r="C41" s="2" t="s">
        <v>160</v>
      </c>
      <c r="D41" t="s">
        <v>162</v>
      </c>
    </row>
    <row r="42" spans="1:4" x14ac:dyDescent="0.25">
      <c r="A42" s="2" t="s">
        <v>140</v>
      </c>
      <c r="B42" s="2"/>
      <c r="C42" s="2" t="s">
        <v>157</v>
      </c>
      <c r="D42" t="s">
        <v>165</v>
      </c>
    </row>
    <row r="43" spans="1:4" x14ac:dyDescent="0.25">
      <c r="A43" s="2" t="s">
        <v>141</v>
      </c>
      <c r="B43" s="2"/>
      <c r="C43" s="2" t="s">
        <v>164</v>
      </c>
      <c r="D43" t="s">
        <v>167</v>
      </c>
    </row>
    <row r="44" spans="1:4" x14ac:dyDescent="0.25">
      <c r="A44" s="2" t="s">
        <v>142</v>
      </c>
      <c r="B44" s="2"/>
      <c r="C44" s="2" t="s">
        <v>185</v>
      </c>
      <c r="D44" t="s">
        <v>169</v>
      </c>
    </row>
    <row r="45" spans="1:4" x14ac:dyDescent="0.25">
      <c r="A45" s="2" t="s">
        <v>143</v>
      </c>
      <c r="B45" s="2"/>
      <c r="C45" s="2" t="s">
        <v>168</v>
      </c>
      <c r="D45" t="s">
        <v>173</v>
      </c>
    </row>
    <row r="46" spans="1:4" x14ac:dyDescent="0.25">
      <c r="A46" s="2" t="s">
        <v>144</v>
      </c>
      <c r="B46" s="2"/>
      <c r="C46" s="2" t="s">
        <v>170</v>
      </c>
      <c r="D46" t="s">
        <v>175</v>
      </c>
    </row>
    <row r="47" spans="1:4" x14ac:dyDescent="0.25">
      <c r="A47" s="2" t="s">
        <v>145</v>
      </c>
      <c r="B47" s="2"/>
      <c r="C47" s="2" t="s">
        <v>172</v>
      </c>
      <c r="D47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D1" sqref="D1"/>
    </sheetView>
  </sheetViews>
  <sheetFormatPr defaultColWidth="9" defaultRowHeight="14" x14ac:dyDescent="0.25"/>
  <cols>
    <col min="1" max="1" width="10.7265625" customWidth="1"/>
    <col min="2" max="2" width="10.08984375" customWidth="1"/>
    <col min="4" max="4" width="19" bestFit="1" customWidth="1"/>
    <col min="6" max="6" width="19" bestFit="1" customWidth="1"/>
    <col min="9" max="9" width="49" customWidth="1"/>
    <col min="10" max="10" width="17.7265625" customWidth="1"/>
  </cols>
  <sheetData>
    <row r="1" spans="1:9" ht="15" x14ac:dyDescent="0.35">
      <c r="A1" s="1" t="s">
        <v>128</v>
      </c>
      <c r="B1" s="5" t="s">
        <v>129</v>
      </c>
      <c r="D1" s="5" t="s">
        <v>186</v>
      </c>
      <c r="E1" s="5"/>
      <c r="F1" s="5" t="s">
        <v>187</v>
      </c>
      <c r="I1" s="5" t="s">
        <v>120</v>
      </c>
    </row>
    <row r="2" spans="1:9" x14ac:dyDescent="0.25">
      <c r="A2" s="2" t="s">
        <v>131</v>
      </c>
      <c r="B2" t="s">
        <v>157</v>
      </c>
      <c r="D2" t="str">
        <f>_xlfn.CONCAT(A2,",",B2)</f>
        <v>Adams,Alvord</v>
      </c>
      <c r="F2" t="str">
        <f>_xlfn.TEXTJOIN(",",1,A2,B2)</f>
        <v>Adams,Alvord</v>
      </c>
    </row>
    <row r="3" spans="1:9" x14ac:dyDescent="0.25">
      <c r="A3" s="2" t="s">
        <v>158</v>
      </c>
      <c r="B3" t="s">
        <v>132</v>
      </c>
      <c r="D3" t="str">
        <f t="shared" ref="D3:D27" si="0">_xlfn.CONCAT(A3,",",B3)</f>
        <v>Allison,Celeste</v>
      </c>
      <c r="F3" t="str">
        <f t="shared" ref="F3:F27" si="1">_xlfn.TEXTJOIN(",",1,A3,B3)</f>
        <v>Allison,Celeste</v>
      </c>
      <c r="I3" s="4" t="s">
        <v>159</v>
      </c>
    </row>
    <row r="4" spans="1:9" x14ac:dyDescent="0.25">
      <c r="A4" s="2" t="s">
        <v>160</v>
      </c>
      <c r="B4" t="s">
        <v>161</v>
      </c>
      <c r="D4" t="str">
        <f t="shared" si="0"/>
        <v>Alvarez,Daniel</v>
      </c>
      <c r="F4" t="str">
        <f t="shared" si="1"/>
        <v>Alvarez,Daniel</v>
      </c>
    </row>
    <row r="5" spans="1:9" x14ac:dyDescent="0.25">
      <c r="A5" s="2" t="s">
        <v>157</v>
      </c>
      <c r="B5" t="s">
        <v>162</v>
      </c>
      <c r="D5" t="str">
        <f t="shared" si="0"/>
        <v>Alvord,Jennifer</v>
      </c>
      <c r="F5" t="str">
        <f t="shared" si="1"/>
        <v>Alvord,Jennifer</v>
      </c>
      <c r="I5" s="4" t="s">
        <v>163</v>
      </c>
    </row>
    <row r="6" spans="1:9" x14ac:dyDescent="0.25">
      <c r="A6" s="2" t="s">
        <v>164</v>
      </c>
      <c r="B6" t="s">
        <v>165</v>
      </c>
      <c r="D6" t="str">
        <f t="shared" si="0"/>
        <v>Anderson,Laura</v>
      </c>
      <c r="F6" t="str">
        <f t="shared" si="1"/>
        <v>Anderson,Laura</v>
      </c>
      <c r="I6" s="4" t="s">
        <v>9</v>
      </c>
    </row>
    <row r="7" spans="1:9" x14ac:dyDescent="0.25">
      <c r="A7" s="2" t="s">
        <v>166</v>
      </c>
      <c r="B7" t="s">
        <v>167</v>
      </c>
      <c r="D7" t="str">
        <f t="shared" si="0"/>
        <v>Andos III,Maria</v>
      </c>
      <c r="F7" t="str">
        <f t="shared" si="1"/>
        <v>Andos III,Maria</v>
      </c>
    </row>
    <row r="8" spans="1:9" x14ac:dyDescent="0.25">
      <c r="A8" s="2" t="s">
        <v>168</v>
      </c>
      <c r="B8" t="s">
        <v>169</v>
      </c>
      <c r="D8" t="str">
        <f t="shared" si="0"/>
        <v>Andrews,Michelle</v>
      </c>
      <c r="F8" t="str">
        <f t="shared" si="1"/>
        <v>Andrews,Michelle</v>
      </c>
    </row>
    <row r="9" spans="1:9" x14ac:dyDescent="0.25">
      <c r="A9" s="2" t="s">
        <v>170</v>
      </c>
      <c r="B9" t="s">
        <v>171</v>
      </c>
      <c r="D9" t="str">
        <f t="shared" si="0"/>
        <v>Ankrah,Nicholas</v>
      </c>
      <c r="F9" t="str">
        <f t="shared" si="1"/>
        <v>Ankrah,Nicholas</v>
      </c>
    </row>
    <row r="10" spans="1:9" x14ac:dyDescent="0.25">
      <c r="A10" s="2" t="s">
        <v>172</v>
      </c>
      <c r="B10" t="s">
        <v>173</v>
      </c>
      <c r="D10" t="str">
        <f t="shared" si="0"/>
        <v>Archuleta,Sally</v>
      </c>
      <c r="F10" t="str">
        <f t="shared" si="1"/>
        <v>Archuleta,Sally</v>
      </c>
    </row>
    <row r="11" spans="1:9" x14ac:dyDescent="0.25">
      <c r="A11" s="2" t="s">
        <v>174</v>
      </c>
      <c r="B11" t="s">
        <v>175</v>
      </c>
      <c r="D11" t="str">
        <f t="shared" si="0"/>
        <v>Arden,Stephanie</v>
      </c>
      <c r="F11" t="str">
        <f t="shared" si="1"/>
        <v>Arden,Stephanie</v>
      </c>
    </row>
    <row r="12" spans="1:9" x14ac:dyDescent="0.25">
      <c r="A12" s="2" t="s">
        <v>176</v>
      </c>
      <c r="B12" t="s">
        <v>177</v>
      </c>
      <c r="D12" t="str">
        <f t="shared" si="0"/>
        <v>Ashby,Susan</v>
      </c>
      <c r="F12" t="str">
        <f t="shared" si="1"/>
        <v>Ashby,Susan</v>
      </c>
    </row>
    <row r="13" spans="1:9" x14ac:dyDescent="0.25">
      <c r="A13" t="s">
        <v>161</v>
      </c>
      <c r="B13" s="2" t="s">
        <v>131</v>
      </c>
      <c r="D13" t="str">
        <f t="shared" si="0"/>
        <v>Daniel,Adams</v>
      </c>
      <c r="F13" t="str">
        <f t="shared" si="1"/>
        <v>Daniel,Adams</v>
      </c>
    </row>
    <row r="14" spans="1:9" x14ac:dyDescent="0.25">
      <c r="A14" t="s">
        <v>162</v>
      </c>
      <c r="B14" s="2" t="s">
        <v>158</v>
      </c>
      <c r="D14" t="str">
        <f t="shared" si="0"/>
        <v>Jennifer,Allison</v>
      </c>
      <c r="F14" t="str">
        <f t="shared" si="1"/>
        <v>Jennifer,Allison</v>
      </c>
    </row>
    <row r="15" spans="1:9" x14ac:dyDescent="0.25">
      <c r="A15" t="s">
        <v>165</v>
      </c>
      <c r="B15" s="2" t="s">
        <v>160</v>
      </c>
      <c r="D15" t="str">
        <f t="shared" si="0"/>
        <v>Laura,Alvarez</v>
      </c>
      <c r="F15" t="str">
        <f t="shared" si="1"/>
        <v>Laura,Alvarez</v>
      </c>
    </row>
    <row r="16" spans="1:9" x14ac:dyDescent="0.25">
      <c r="A16" t="s">
        <v>167</v>
      </c>
      <c r="B16" s="2" t="s">
        <v>157</v>
      </c>
      <c r="D16" t="str">
        <f t="shared" si="0"/>
        <v>Maria,Alvord</v>
      </c>
      <c r="F16" t="str">
        <f t="shared" si="1"/>
        <v>Maria,Alvord</v>
      </c>
    </row>
    <row r="17" spans="1:6" x14ac:dyDescent="0.25">
      <c r="A17" t="s">
        <v>169</v>
      </c>
      <c r="B17" s="2" t="s">
        <v>164</v>
      </c>
      <c r="D17" t="str">
        <f t="shared" si="0"/>
        <v>Michelle,Anderson</v>
      </c>
      <c r="F17" t="str">
        <f t="shared" si="1"/>
        <v>Michelle,Anderson</v>
      </c>
    </row>
    <row r="18" spans="1:6" x14ac:dyDescent="0.25">
      <c r="A18" t="s">
        <v>171</v>
      </c>
      <c r="B18" s="2" t="s">
        <v>166</v>
      </c>
      <c r="D18" t="str">
        <f t="shared" si="0"/>
        <v>Nicholas,Andos III</v>
      </c>
      <c r="F18" t="str">
        <f t="shared" si="1"/>
        <v>Nicholas,Andos III</v>
      </c>
    </row>
    <row r="19" spans="1:6" x14ac:dyDescent="0.25">
      <c r="A19" t="s">
        <v>173</v>
      </c>
      <c r="B19" s="2" t="s">
        <v>168</v>
      </c>
      <c r="D19" t="str">
        <f t="shared" si="0"/>
        <v>Sally,Andrews</v>
      </c>
      <c r="F19" t="str">
        <f t="shared" si="1"/>
        <v>Sally,Andrews</v>
      </c>
    </row>
    <row r="20" spans="1:6" x14ac:dyDescent="0.25">
      <c r="A20" t="s">
        <v>165</v>
      </c>
      <c r="B20" t="s">
        <v>177</v>
      </c>
      <c r="D20" t="str">
        <f t="shared" si="0"/>
        <v>Laura,Susan</v>
      </c>
      <c r="F20" t="str">
        <f t="shared" si="1"/>
        <v>Laura,Susan</v>
      </c>
    </row>
    <row r="21" spans="1:6" x14ac:dyDescent="0.25">
      <c r="A21" t="s">
        <v>167</v>
      </c>
      <c r="B21" s="2" t="s">
        <v>131</v>
      </c>
      <c r="D21" t="str">
        <f t="shared" si="0"/>
        <v>Maria,Adams</v>
      </c>
      <c r="F21" t="str">
        <f t="shared" si="1"/>
        <v>Maria,Adams</v>
      </c>
    </row>
    <row r="22" spans="1:6" x14ac:dyDescent="0.25">
      <c r="A22" t="s">
        <v>169</v>
      </c>
      <c r="B22" s="2" t="s">
        <v>158</v>
      </c>
      <c r="D22" t="str">
        <f t="shared" si="0"/>
        <v>Michelle,Allison</v>
      </c>
      <c r="F22" t="str">
        <f t="shared" si="1"/>
        <v>Michelle,Allison</v>
      </c>
    </row>
    <row r="23" spans="1:6" x14ac:dyDescent="0.25">
      <c r="A23" t="s">
        <v>171</v>
      </c>
      <c r="B23" s="2" t="s">
        <v>160</v>
      </c>
      <c r="D23" t="str">
        <f t="shared" si="0"/>
        <v>Nicholas,Alvarez</v>
      </c>
      <c r="F23" t="str">
        <f t="shared" si="1"/>
        <v>Nicholas,Alvarez</v>
      </c>
    </row>
    <row r="24" spans="1:6" x14ac:dyDescent="0.25">
      <c r="A24" t="s">
        <v>173</v>
      </c>
      <c r="B24" s="2" t="s">
        <v>157</v>
      </c>
      <c r="D24" t="str">
        <f t="shared" si="0"/>
        <v>Sally,Alvord</v>
      </c>
      <c r="F24" t="str">
        <f t="shared" si="1"/>
        <v>Sally,Alvord</v>
      </c>
    </row>
    <row r="25" spans="1:6" x14ac:dyDescent="0.25">
      <c r="A25" t="s">
        <v>175</v>
      </c>
      <c r="B25" s="2" t="s">
        <v>164</v>
      </c>
      <c r="D25" t="str">
        <f t="shared" si="0"/>
        <v>Stephanie,Anderson</v>
      </c>
      <c r="F25" t="str">
        <f t="shared" si="1"/>
        <v>Stephanie,Anderson</v>
      </c>
    </row>
    <row r="26" spans="1:6" x14ac:dyDescent="0.25">
      <c r="A26" t="s">
        <v>177</v>
      </c>
      <c r="B26" s="2" t="s">
        <v>166</v>
      </c>
      <c r="D26" t="str">
        <f t="shared" si="0"/>
        <v>Susan,Andos III</v>
      </c>
      <c r="F26" t="str">
        <f t="shared" si="1"/>
        <v>Susan,Andos III</v>
      </c>
    </row>
    <row r="27" spans="1:6" x14ac:dyDescent="0.25">
      <c r="A27" s="2" t="s">
        <v>131</v>
      </c>
      <c r="B27" s="2" t="s">
        <v>168</v>
      </c>
      <c r="D27" t="str">
        <f t="shared" si="0"/>
        <v>Adams,Andrews</v>
      </c>
      <c r="F27" t="str">
        <f t="shared" si="1"/>
        <v>Adams,Andrews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9" workbookViewId="0">
      <selection activeCell="C16" sqref="C16"/>
    </sheetView>
  </sheetViews>
  <sheetFormatPr defaultColWidth="9" defaultRowHeight="14" x14ac:dyDescent="0.25"/>
  <cols>
    <col min="1" max="1" width="43.81640625" customWidth="1"/>
    <col min="2" max="2" width="21.6328125" bestFit="1" customWidth="1"/>
    <col min="3" max="3" width="15.26953125" customWidth="1"/>
    <col min="4" max="4" width="8.453125" customWidth="1"/>
    <col min="5" max="5" width="8.08984375" customWidth="1"/>
    <col min="6" max="6" width="19" bestFit="1" customWidth="1"/>
    <col min="7" max="7" width="16.54296875" bestFit="1" customWidth="1"/>
    <col min="10" max="10" width="32.81640625" customWidth="1"/>
  </cols>
  <sheetData>
    <row r="1" spans="1:10" ht="15" x14ac:dyDescent="0.35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  <c r="J1" s="10" t="s">
        <v>120</v>
      </c>
    </row>
    <row r="2" spans="1:10" x14ac:dyDescent="0.25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J2" s="4"/>
    </row>
    <row r="3" spans="1:10" x14ac:dyDescent="0.25">
      <c r="A3" s="2" t="s">
        <v>8</v>
      </c>
      <c r="B3" s="2" t="s">
        <v>16</v>
      </c>
      <c r="C3" s="2" t="s">
        <v>15</v>
      </c>
      <c r="D3" s="9">
        <v>42251</v>
      </c>
      <c r="E3" s="9">
        <v>42246</v>
      </c>
      <c r="F3" s="3">
        <v>0.35</v>
      </c>
      <c r="G3" s="3">
        <v>1009.82</v>
      </c>
      <c r="J3" s="4"/>
    </row>
    <row r="4" spans="1:10" x14ac:dyDescent="0.25">
      <c r="A4" s="2" t="s">
        <v>8</v>
      </c>
      <c r="B4" s="2" t="s">
        <v>32</v>
      </c>
      <c r="C4" s="2" t="s">
        <v>31</v>
      </c>
      <c r="D4" s="9">
        <v>42251</v>
      </c>
      <c r="E4" s="9">
        <v>42246</v>
      </c>
      <c r="F4" s="3">
        <v>860.54</v>
      </c>
      <c r="G4" s="3">
        <v>860.54</v>
      </c>
      <c r="J4" s="4"/>
    </row>
    <row r="5" spans="1:10" ht="15" x14ac:dyDescent="0.35">
      <c r="A5" s="2" t="s">
        <v>8</v>
      </c>
      <c r="B5" s="2" t="s">
        <v>44</v>
      </c>
      <c r="C5" s="2" t="s">
        <v>43</v>
      </c>
      <c r="D5" s="9">
        <v>42230</v>
      </c>
      <c r="E5" s="9">
        <v>42218</v>
      </c>
      <c r="F5" s="3">
        <v>135.33000000000001</v>
      </c>
      <c r="G5" s="3">
        <v>135.33000000000001</v>
      </c>
      <c r="I5" s="5"/>
      <c r="J5" s="4" t="s">
        <v>178</v>
      </c>
    </row>
    <row r="6" spans="1:10" ht="15" x14ac:dyDescent="0.35">
      <c r="A6" s="2" t="s">
        <v>8</v>
      </c>
      <c r="B6" s="2" t="s">
        <v>60</v>
      </c>
      <c r="C6" s="2" t="s">
        <v>59</v>
      </c>
      <c r="D6" s="9">
        <v>42020</v>
      </c>
      <c r="E6" s="9">
        <v>42015</v>
      </c>
      <c r="F6" s="3">
        <v>12.4</v>
      </c>
      <c r="G6" s="3">
        <v>2559.1999999999998</v>
      </c>
      <c r="I6" s="5"/>
    </row>
    <row r="7" spans="1:10" x14ac:dyDescent="0.25">
      <c r="A7" s="2" t="s">
        <v>8</v>
      </c>
      <c r="B7" s="2" t="s">
        <v>71</v>
      </c>
      <c r="C7" s="2" t="s">
        <v>70</v>
      </c>
      <c r="D7" s="9">
        <v>42104</v>
      </c>
      <c r="E7" s="9">
        <v>42099</v>
      </c>
      <c r="F7" s="3">
        <v>2149.77</v>
      </c>
      <c r="G7" s="3">
        <v>2149.77</v>
      </c>
    </row>
    <row r="8" spans="1:10" x14ac:dyDescent="0.25">
      <c r="A8" s="2" t="s">
        <v>8</v>
      </c>
      <c r="B8" s="2" t="s">
        <v>82</v>
      </c>
      <c r="C8" s="2" t="s">
        <v>81</v>
      </c>
      <c r="D8" s="9">
        <v>42244</v>
      </c>
      <c r="E8" s="9">
        <v>42232</v>
      </c>
      <c r="F8" s="3">
        <v>225.6</v>
      </c>
      <c r="G8" s="3">
        <v>225.6</v>
      </c>
    </row>
    <row r="9" spans="1:10" x14ac:dyDescent="0.25">
      <c r="A9" s="2" t="s">
        <v>8</v>
      </c>
      <c r="B9" s="2" t="s">
        <v>95</v>
      </c>
      <c r="C9" s="2" t="s">
        <v>94</v>
      </c>
      <c r="D9" s="9">
        <v>42097</v>
      </c>
      <c r="E9" s="9">
        <v>42092</v>
      </c>
      <c r="F9" s="3">
        <v>75.25</v>
      </c>
      <c r="G9" s="3">
        <v>75.25</v>
      </c>
    </row>
    <row r="10" spans="1:10" x14ac:dyDescent="0.25">
      <c r="A10" s="2" t="s">
        <v>8</v>
      </c>
      <c r="B10" s="2" t="s">
        <v>99</v>
      </c>
      <c r="C10" s="2" t="s">
        <v>98</v>
      </c>
      <c r="D10" s="9">
        <v>42321</v>
      </c>
      <c r="E10" s="9">
        <v>42288</v>
      </c>
      <c r="F10" s="3">
        <v>204.88</v>
      </c>
      <c r="G10" s="3">
        <v>204.88</v>
      </c>
    </row>
    <row r="11" spans="1:10" x14ac:dyDescent="0.25">
      <c r="A11" s="2" t="s">
        <v>8</v>
      </c>
      <c r="B11" s="2" t="s">
        <v>105</v>
      </c>
      <c r="C11" s="2" t="s">
        <v>104</v>
      </c>
      <c r="D11" s="9">
        <v>42237</v>
      </c>
      <c r="E11" s="9">
        <v>42211</v>
      </c>
      <c r="F11" s="3">
        <v>0.04</v>
      </c>
      <c r="G11" s="3">
        <v>112.2</v>
      </c>
    </row>
    <row r="12" spans="1:10" x14ac:dyDescent="0.25">
      <c r="A12" s="2" t="s">
        <v>8</v>
      </c>
      <c r="B12" s="2" t="s">
        <v>117</v>
      </c>
      <c r="C12" s="2" t="s">
        <v>116</v>
      </c>
      <c r="D12" s="9">
        <v>42041</v>
      </c>
      <c r="E12" s="9">
        <v>42036</v>
      </c>
      <c r="F12" s="3">
        <v>417.01</v>
      </c>
      <c r="G12" s="3">
        <v>417.01</v>
      </c>
    </row>
    <row r="13" spans="1:10" x14ac:dyDescent="0.25">
      <c r="A13" s="2" t="s">
        <v>8</v>
      </c>
      <c r="B13" s="2" t="s">
        <v>117</v>
      </c>
      <c r="C13" s="2" t="s">
        <v>59</v>
      </c>
      <c r="D13" s="9">
        <v>42286</v>
      </c>
      <c r="E13" s="9">
        <v>42281</v>
      </c>
      <c r="F13" s="3">
        <v>804.93</v>
      </c>
      <c r="G13" s="3">
        <v>804.93</v>
      </c>
    </row>
    <row r="16" spans="1:10" x14ac:dyDescent="0.25">
      <c r="A16" s="18" t="s">
        <v>0</v>
      </c>
      <c r="B16" t="s">
        <v>189</v>
      </c>
    </row>
    <row r="17" spans="1:8" ht="15" x14ac:dyDescent="0.35">
      <c r="A17" t="s">
        <v>59</v>
      </c>
      <c r="B17" s="19">
        <v>2</v>
      </c>
      <c r="C17" s="17"/>
    </row>
    <row r="18" spans="1:8" x14ac:dyDescent="0.25">
      <c r="A18" t="s">
        <v>116</v>
      </c>
      <c r="B18">
        <v>1</v>
      </c>
    </row>
    <row r="19" spans="1:8" x14ac:dyDescent="0.25">
      <c r="A19" t="s">
        <v>94</v>
      </c>
      <c r="B19">
        <v>1</v>
      </c>
    </row>
    <row r="20" spans="1:8" x14ac:dyDescent="0.25">
      <c r="A20" t="s">
        <v>70</v>
      </c>
      <c r="B20">
        <v>1</v>
      </c>
    </row>
    <row r="21" spans="1:8" x14ac:dyDescent="0.25">
      <c r="A21" t="s">
        <v>43</v>
      </c>
      <c r="B21">
        <v>1</v>
      </c>
    </row>
    <row r="22" spans="1:8" x14ac:dyDescent="0.25">
      <c r="A22" t="s">
        <v>104</v>
      </c>
      <c r="B22">
        <v>1</v>
      </c>
    </row>
    <row r="23" spans="1:8" x14ac:dyDescent="0.25">
      <c r="A23" t="s">
        <v>81</v>
      </c>
      <c r="B23">
        <v>1</v>
      </c>
    </row>
    <row r="24" spans="1:8" x14ac:dyDescent="0.25">
      <c r="A24" t="s">
        <v>15</v>
      </c>
      <c r="B24">
        <v>1</v>
      </c>
    </row>
    <row r="25" spans="1:8" x14ac:dyDescent="0.25">
      <c r="A25" t="s">
        <v>31</v>
      </c>
      <c r="B25">
        <v>1</v>
      </c>
    </row>
    <row r="26" spans="1:8" x14ac:dyDescent="0.25">
      <c r="A26" t="s">
        <v>7</v>
      </c>
      <c r="B26">
        <v>1</v>
      </c>
    </row>
    <row r="27" spans="1:8" ht="15" x14ac:dyDescent="0.35">
      <c r="A27" t="s">
        <v>98</v>
      </c>
      <c r="B27">
        <v>1</v>
      </c>
      <c r="H27" s="17"/>
    </row>
    <row r="28" spans="1:8" x14ac:dyDescent="0.25">
      <c r="A28" t="s">
        <v>188</v>
      </c>
      <c r="B28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2"/>
  <sheetViews>
    <sheetView zoomScale="90" zoomScaleNormal="90" workbookViewId="0">
      <selection activeCell="C8" sqref="C8"/>
    </sheetView>
  </sheetViews>
  <sheetFormatPr defaultColWidth="9" defaultRowHeight="14" outlineLevelRow="2" x14ac:dyDescent="0.25"/>
  <cols>
    <col min="1" max="1" width="29" customWidth="1"/>
    <col min="2" max="2" width="22.26953125" bestFit="1" customWidth="1"/>
    <col min="3" max="3" width="15.26953125" customWidth="1"/>
    <col min="4" max="4" width="8.453125" customWidth="1"/>
    <col min="5" max="5" width="8.08984375" customWidth="1"/>
    <col min="6" max="6" width="17.26953125" customWidth="1"/>
    <col min="7" max="7" width="15.26953125" customWidth="1"/>
  </cols>
  <sheetData>
    <row r="1" spans="1:14" ht="14.5" x14ac:dyDescent="0.3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</row>
    <row r="2" spans="1:14" ht="15" outlineLevel="2" x14ac:dyDescent="0.35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K2" s="10" t="s">
        <v>120</v>
      </c>
      <c r="L2" s="10"/>
      <c r="M2" s="10"/>
      <c r="N2" s="10"/>
    </row>
    <row r="3" spans="1:14" outlineLevel="2" x14ac:dyDescent="0.25">
      <c r="A3" s="2" t="s">
        <v>8</v>
      </c>
      <c r="B3" s="2" t="s">
        <v>9</v>
      </c>
      <c r="C3" s="2" t="s">
        <v>10</v>
      </c>
      <c r="D3" s="9">
        <v>42321</v>
      </c>
      <c r="E3" s="9">
        <v>42316</v>
      </c>
      <c r="F3" s="3">
        <v>2887.15</v>
      </c>
      <c r="G3" s="3">
        <v>2887.15</v>
      </c>
      <c r="K3" s="20" t="s">
        <v>179</v>
      </c>
      <c r="L3" s="20"/>
      <c r="M3" s="20"/>
      <c r="N3" s="20"/>
    </row>
    <row r="4" spans="1:14" outlineLevel="2" x14ac:dyDescent="0.25">
      <c r="A4" s="2" t="s">
        <v>8</v>
      </c>
      <c r="B4" s="2" t="s">
        <v>9</v>
      </c>
      <c r="C4" s="2" t="s">
        <v>11</v>
      </c>
      <c r="D4" s="9">
        <v>42328</v>
      </c>
      <c r="E4" s="9">
        <v>42323</v>
      </c>
      <c r="F4" s="3">
        <v>2373</v>
      </c>
      <c r="G4" s="3">
        <v>2373</v>
      </c>
      <c r="K4" s="20"/>
      <c r="L4" s="20"/>
      <c r="M4" s="20"/>
      <c r="N4" s="20"/>
    </row>
    <row r="5" spans="1:14" outlineLevel="2" x14ac:dyDescent="0.25">
      <c r="A5" s="2" t="s">
        <v>8</v>
      </c>
      <c r="B5" s="2" t="s">
        <v>9</v>
      </c>
      <c r="C5" s="2" t="s">
        <v>12</v>
      </c>
      <c r="D5" s="9">
        <v>42335</v>
      </c>
      <c r="E5" s="9">
        <v>42330</v>
      </c>
      <c r="F5" s="3">
        <v>2096.15</v>
      </c>
      <c r="G5" s="3">
        <v>2096.15</v>
      </c>
      <c r="K5" s="20"/>
      <c r="L5" s="20"/>
      <c r="M5" s="20"/>
      <c r="N5" s="20"/>
    </row>
    <row r="6" spans="1:14" outlineLevel="2" x14ac:dyDescent="0.25">
      <c r="A6" s="2" t="s">
        <v>8</v>
      </c>
      <c r="B6" s="2" t="s">
        <v>9</v>
      </c>
      <c r="C6" s="2" t="s">
        <v>13</v>
      </c>
      <c r="D6" s="9">
        <v>42342</v>
      </c>
      <c r="E6" s="9">
        <v>42337</v>
      </c>
      <c r="F6" s="3">
        <v>514.15</v>
      </c>
      <c r="G6" s="3">
        <v>514.15</v>
      </c>
      <c r="K6" s="20"/>
      <c r="L6" s="20"/>
      <c r="M6" s="20"/>
      <c r="N6" s="20"/>
    </row>
    <row r="7" spans="1:14" outlineLevel="2" x14ac:dyDescent="0.25">
      <c r="A7" s="2" t="s">
        <v>8</v>
      </c>
      <c r="B7" s="2" t="s">
        <v>9</v>
      </c>
      <c r="C7" s="2" t="s">
        <v>14</v>
      </c>
      <c r="D7" s="9">
        <v>42349</v>
      </c>
      <c r="E7" s="9">
        <v>42344</v>
      </c>
      <c r="F7" s="3">
        <v>2728.95</v>
      </c>
      <c r="G7" s="3">
        <v>2728.95</v>
      </c>
    </row>
    <row r="8" spans="1:14" outlineLevel="1" x14ac:dyDescent="0.25">
      <c r="A8" s="2"/>
      <c r="B8" s="21" t="s">
        <v>200</v>
      </c>
      <c r="C8" s="2"/>
      <c r="D8" s="9"/>
      <c r="E8" s="9"/>
      <c r="F8" s="3">
        <f>SUBTOTAL(9,F2:F7)</f>
        <v>12972.399999999998</v>
      </c>
      <c r="G8" s="3">
        <f>SUBTOTAL(9,G2:G7)</f>
        <v>12972.399999999998</v>
      </c>
    </row>
    <row r="9" spans="1:14" outlineLevel="2" x14ac:dyDescent="0.25">
      <c r="A9" s="2" t="s">
        <v>8</v>
      </c>
      <c r="B9" s="2" t="s">
        <v>16</v>
      </c>
      <c r="C9" s="2" t="s">
        <v>15</v>
      </c>
      <c r="D9" s="9">
        <v>42251</v>
      </c>
      <c r="E9" s="9">
        <v>42246</v>
      </c>
      <c r="F9" s="3">
        <v>0.35</v>
      </c>
      <c r="G9" s="3">
        <v>1009.82</v>
      </c>
    </row>
    <row r="10" spans="1:14" outlineLevel="2" x14ac:dyDescent="0.25">
      <c r="A10" s="2" t="s">
        <v>8</v>
      </c>
      <c r="B10" s="2" t="s">
        <v>16</v>
      </c>
      <c r="C10" s="2" t="s">
        <v>17</v>
      </c>
      <c r="D10" s="9">
        <v>42258</v>
      </c>
      <c r="E10" s="9">
        <v>42253</v>
      </c>
      <c r="F10" s="3">
        <v>0.33</v>
      </c>
      <c r="G10" s="3">
        <v>951.28</v>
      </c>
    </row>
    <row r="11" spans="1:14" outlineLevel="2" x14ac:dyDescent="0.25">
      <c r="A11" s="2" t="s">
        <v>8</v>
      </c>
      <c r="B11" s="2" t="s">
        <v>16</v>
      </c>
      <c r="C11" s="2" t="s">
        <v>18</v>
      </c>
      <c r="D11" s="9">
        <v>42265</v>
      </c>
      <c r="E11" s="9">
        <v>42260</v>
      </c>
      <c r="F11" s="3">
        <v>0.24</v>
      </c>
      <c r="G11" s="3">
        <v>724.43</v>
      </c>
    </row>
    <row r="12" spans="1:14" outlineLevel="2" x14ac:dyDescent="0.25">
      <c r="A12" s="2" t="s">
        <v>8</v>
      </c>
      <c r="B12" s="2" t="s">
        <v>16</v>
      </c>
      <c r="C12" s="2" t="s">
        <v>19</v>
      </c>
      <c r="D12" s="9">
        <v>42272</v>
      </c>
      <c r="E12" s="9">
        <v>42267</v>
      </c>
      <c r="F12" s="3">
        <v>0.34</v>
      </c>
      <c r="G12" s="3">
        <v>970.89</v>
      </c>
    </row>
    <row r="13" spans="1:14" outlineLevel="2" x14ac:dyDescent="0.25">
      <c r="A13" s="2" t="s">
        <v>8</v>
      </c>
      <c r="B13" s="2" t="s">
        <v>16</v>
      </c>
      <c r="C13" s="2" t="s">
        <v>20</v>
      </c>
      <c r="D13" s="9">
        <v>42279</v>
      </c>
      <c r="E13" s="9">
        <v>42274</v>
      </c>
      <c r="F13" s="3">
        <v>848.83</v>
      </c>
      <c r="G13" s="3">
        <v>848.83</v>
      </c>
    </row>
    <row r="14" spans="1:14" outlineLevel="2" x14ac:dyDescent="0.25">
      <c r="A14" s="2" t="s">
        <v>8</v>
      </c>
      <c r="B14" s="2" t="s">
        <v>16</v>
      </c>
      <c r="C14" s="2" t="s">
        <v>21</v>
      </c>
      <c r="D14" s="9">
        <v>42286</v>
      </c>
      <c r="E14" s="9">
        <v>42281</v>
      </c>
      <c r="F14" s="3">
        <v>804.93</v>
      </c>
      <c r="G14" s="3">
        <v>804.93</v>
      </c>
    </row>
    <row r="15" spans="1:14" outlineLevel="2" x14ac:dyDescent="0.25">
      <c r="A15" s="2" t="s">
        <v>8</v>
      </c>
      <c r="B15" s="2" t="s">
        <v>16</v>
      </c>
      <c r="C15" s="2" t="s">
        <v>22</v>
      </c>
      <c r="D15" s="9">
        <v>42293</v>
      </c>
      <c r="E15" s="9">
        <v>42288</v>
      </c>
      <c r="F15" s="3">
        <v>746.39</v>
      </c>
      <c r="G15" s="3">
        <v>746.39</v>
      </c>
    </row>
    <row r="16" spans="1:14" outlineLevel="2" x14ac:dyDescent="0.25">
      <c r="A16" s="2" t="s">
        <v>8</v>
      </c>
      <c r="B16" s="2" t="s">
        <v>16</v>
      </c>
      <c r="C16" s="2" t="s">
        <v>23</v>
      </c>
      <c r="D16" s="9">
        <v>42300</v>
      </c>
      <c r="E16" s="9">
        <v>42295</v>
      </c>
      <c r="F16" s="3">
        <v>875.47</v>
      </c>
      <c r="G16" s="3">
        <v>875.47</v>
      </c>
    </row>
    <row r="17" spans="1:7" outlineLevel="2" x14ac:dyDescent="0.25">
      <c r="A17" s="2" t="s">
        <v>8</v>
      </c>
      <c r="B17" s="2" t="s">
        <v>16</v>
      </c>
      <c r="C17" s="2" t="s">
        <v>24</v>
      </c>
      <c r="D17" s="9">
        <v>42307</v>
      </c>
      <c r="E17" s="9">
        <v>42302</v>
      </c>
      <c r="F17" s="3">
        <v>939.27</v>
      </c>
      <c r="G17" s="3">
        <v>939.27</v>
      </c>
    </row>
    <row r="18" spans="1:7" outlineLevel="2" x14ac:dyDescent="0.25">
      <c r="A18" s="2" t="s">
        <v>8</v>
      </c>
      <c r="B18" s="2" t="s">
        <v>16</v>
      </c>
      <c r="C18" s="2" t="s">
        <v>25</v>
      </c>
      <c r="D18" s="9">
        <v>42314</v>
      </c>
      <c r="E18" s="9">
        <v>42309</v>
      </c>
      <c r="F18" s="3">
        <v>831.85</v>
      </c>
      <c r="G18" s="3">
        <v>831.85</v>
      </c>
    </row>
    <row r="19" spans="1:7" outlineLevel="2" x14ac:dyDescent="0.25">
      <c r="A19" s="2" t="s">
        <v>8</v>
      </c>
      <c r="B19" s="2" t="s">
        <v>16</v>
      </c>
      <c r="C19" s="2" t="s">
        <v>26</v>
      </c>
      <c r="D19" s="9">
        <v>42321</v>
      </c>
      <c r="E19" s="9">
        <v>42316</v>
      </c>
      <c r="F19" s="3">
        <v>853.81</v>
      </c>
      <c r="G19" s="3">
        <v>853.81</v>
      </c>
    </row>
    <row r="20" spans="1:7" outlineLevel="2" x14ac:dyDescent="0.25">
      <c r="A20" s="2" t="s">
        <v>8</v>
      </c>
      <c r="B20" s="2" t="s">
        <v>16</v>
      </c>
      <c r="C20" s="2" t="s">
        <v>27</v>
      </c>
      <c r="D20" s="9">
        <v>42328</v>
      </c>
      <c r="E20" s="9">
        <v>42323</v>
      </c>
      <c r="F20" s="3">
        <v>790.29</v>
      </c>
      <c r="G20" s="3">
        <v>790.29</v>
      </c>
    </row>
    <row r="21" spans="1:7" outlineLevel="2" x14ac:dyDescent="0.25">
      <c r="A21" s="2" t="s">
        <v>8</v>
      </c>
      <c r="B21" s="2" t="s">
        <v>16</v>
      </c>
      <c r="C21" s="2" t="s">
        <v>28</v>
      </c>
      <c r="D21" s="9">
        <v>42335</v>
      </c>
      <c r="E21" s="9">
        <v>42330</v>
      </c>
      <c r="F21" s="3">
        <v>804.93</v>
      </c>
      <c r="G21" s="3">
        <v>804.93</v>
      </c>
    </row>
    <row r="22" spans="1:7" outlineLevel="2" x14ac:dyDescent="0.25">
      <c r="A22" s="2" t="s">
        <v>8</v>
      </c>
      <c r="B22" s="2" t="s">
        <v>16</v>
      </c>
      <c r="C22" s="2" t="s">
        <v>29</v>
      </c>
      <c r="D22" s="9">
        <v>42342</v>
      </c>
      <c r="E22" s="9">
        <v>42337</v>
      </c>
      <c r="F22" s="3">
        <v>697.5</v>
      </c>
      <c r="G22" s="3">
        <v>697.5</v>
      </c>
    </row>
    <row r="23" spans="1:7" outlineLevel="2" x14ac:dyDescent="0.25">
      <c r="A23" s="2" t="s">
        <v>8</v>
      </c>
      <c r="B23" s="2" t="s">
        <v>16</v>
      </c>
      <c r="C23" s="2" t="s">
        <v>30</v>
      </c>
      <c r="D23" s="9">
        <v>42349</v>
      </c>
      <c r="E23" s="9">
        <v>42344</v>
      </c>
      <c r="F23" s="3">
        <v>1061.04</v>
      </c>
      <c r="G23" s="3">
        <v>1061.04</v>
      </c>
    </row>
    <row r="24" spans="1:7" outlineLevel="1" x14ac:dyDescent="0.25">
      <c r="A24" s="2"/>
      <c r="B24" s="21" t="s">
        <v>199</v>
      </c>
      <c r="C24" s="2"/>
      <c r="D24" s="9"/>
      <c r="E24" s="9"/>
      <c r="F24" s="3">
        <f>SUBTOTAL(9,F9:F23)</f>
        <v>9255.57</v>
      </c>
      <c r="G24" s="3">
        <f>SUBTOTAL(9,G9:G23)</f>
        <v>12910.730000000003</v>
      </c>
    </row>
    <row r="25" spans="1:7" outlineLevel="2" x14ac:dyDescent="0.25">
      <c r="A25" s="2" t="s">
        <v>8</v>
      </c>
      <c r="B25" s="2" t="s">
        <v>32</v>
      </c>
      <c r="C25" s="2" t="s">
        <v>31</v>
      </c>
      <c r="D25" s="9">
        <v>42251</v>
      </c>
      <c r="E25" s="9">
        <v>42246</v>
      </c>
      <c r="F25" s="3">
        <v>860.54</v>
      </c>
      <c r="G25" s="3">
        <v>860.54</v>
      </c>
    </row>
    <row r="26" spans="1:7" outlineLevel="2" x14ac:dyDescent="0.25">
      <c r="A26" s="2" t="s">
        <v>8</v>
      </c>
      <c r="B26" s="2" t="s">
        <v>32</v>
      </c>
      <c r="C26" s="2" t="s">
        <v>33</v>
      </c>
      <c r="D26" s="9">
        <v>42258</v>
      </c>
      <c r="E26" s="9">
        <v>42253</v>
      </c>
      <c r="F26" s="3">
        <v>779.99</v>
      </c>
      <c r="G26" s="3">
        <v>779.99</v>
      </c>
    </row>
    <row r="27" spans="1:7" outlineLevel="2" x14ac:dyDescent="0.25">
      <c r="A27" s="2" t="s">
        <v>8</v>
      </c>
      <c r="B27" s="2" t="s">
        <v>32</v>
      </c>
      <c r="C27" s="2" t="s">
        <v>34</v>
      </c>
      <c r="D27" s="9">
        <v>42279</v>
      </c>
      <c r="E27" s="9">
        <v>42274</v>
      </c>
      <c r="F27" s="3">
        <v>770.66</v>
      </c>
      <c r="G27" s="3">
        <v>770.66</v>
      </c>
    </row>
    <row r="28" spans="1:7" outlineLevel="2" x14ac:dyDescent="0.25">
      <c r="A28" s="2" t="s">
        <v>8</v>
      </c>
      <c r="B28" s="2" t="s">
        <v>32</v>
      </c>
      <c r="C28" s="2" t="s">
        <v>35</v>
      </c>
      <c r="D28" s="9">
        <v>42300</v>
      </c>
      <c r="E28" s="9">
        <v>42295</v>
      </c>
      <c r="F28" s="3">
        <v>480.81</v>
      </c>
      <c r="G28" s="3">
        <v>480.81</v>
      </c>
    </row>
    <row r="29" spans="1:7" outlineLevel="2" x14ac:dyDescent="0.25">
      <c r="A29" s="2" t="s">
        <v>8</v>
      </c>
      <c r="B29" s="2" t="s">
        <v>32</v>
      </c>
      <c r="C29" s="2" t="s">
        <v>36</v>
      </c>
      <c r="D29" s="9">
        <v>42307</v>
      </c>
      <c r="E29" s="9">
        <v>42302</v>
      </c>
      <c r="F29" s="3">
        <v>823.53</v>
      </c>
      <c r="G29" s="3">
        <v>823.53</v>
      </c>
    </row>
    <row r="30" spans="1:7" outlineLevel="2" x14ac:dyDescent="0.25">
      <c r="A30" s="2" t="s">
        <v>8</v>
      </c>
      <c r="B30" s="2" t="s">
        <v>32</v>
      </c>
      <c r="C30" s="2" t="s">
        <v>37</v>
      </c>
      <c r="D30" s="9">
        <v>42314</v>
      </c>
      <c r="E30" s="9">
        <v>42309</v>
      </c>
      <c r="F30" s="3">
        <v>724.01</v>
      </c>
      <c r="G30" s="3">
        <v>724.01</v>
      </c>
    </row>
    <row r="31" spans="1:7" outlineLevel="2" x14ac:dyDescent="0.25">
      <c r="A31" s="2" t="s">
        <v>8</v>
      </c>
      <c r="B31" s="2" t="s">
        <v>32</v>
      </c>
      <c r="C31" s="2" t="s">
        <v>38</v>
      </c>
      <c r="D31" s="9">
        <v>42321</v>
      </c>
      <c r="E31" s="9">
        <v>42316</v>
      </c>
      <c r="F31" s="3">
        <v>958.5</v>
      </c>
      <c r="G31" s="3">
        <v>958.5</v>
      </c>
    </row>
    <row r="32" spans="1:7" outlineLevel="2" x14ac:dyDescent="0.25">
      <c r="A32" s="2" t="s">
        <v>8</v>
      </c>
      <c r="B32" s="2" t="s">
        <v>32</v>
      </c>
      <c r="C32" s="2" t="s">
        <v>39</v>
      </c>
      <c r="D32" s="9">
        <v>42328</v>
      </c>
      <c r="E32" s="9">
        <v>42323</v>
      </c>
      <c r="F32" s="3">
        <v>347.7</v>
      </c>
      <c r="G32" s="3">
        <v>347.7</v>
      </c>
    </row>
    <row r="33" spans="1:7" outlineLevel="2" x14ac:dyDescent="0.25">
      <c r="A33" s="2" t="s">
        <v>8</v>
      </c>
      <c r="B33" s="2" t="s">
        <v>32</v>
      </c>
      <c r="C33" s="2" t="s">
        <v>40</v>
      </c>
      <c r="D33" s="9">
        <v>42335</v>
      </c>
      <c r="E33" s="9">
        <v>42330</v>
      </c>
      <c r="F33" s="3">
        <v>1064.8599999999999</v>
      </c>
      <c r="G33" s="3">
        <v>1064.8599999999999</v>
      </c>
    </row>
    <row r="34" spans="1:7" outlineLevel="2" x14ac:dyDescent="0.25">
      <c r="A34" s="2" t="s">
        <v>8</v>
      </c>
      <c r="B34" s="2" t="s">
        <v>32</v>
      </c>
      <c r="C34" s="2" t="s">
        <v>41</v>
      </c>
      <c r="D34" s="9">
        <v>42342</v>
      </c>
      <c r="E34" s="9">
        <v>42337</v>
      </c>
      <c r="F34" s="3">
        <v>406.79</v>
      </c>
      <c r="G34" s="3">
        <v>406.79</v>
      </c>
    </row>
    <row r="35" spans="1:7" outlineLevel="2" x14ac:dyDescent="0.25">
      <c r="A35" s="2" t="s">
        <v>8</v>
      </c>
      <c r="B35" s="2" t="s">
        <v>32</v>
      </c>
      <c r="C35" s="2" t="s">
        <v>42</v>
      </c>
      <c r="D35" s="9">
        <v>42349</v>
      </c>
      <c r="E35" s="9">
        <v>42344</v>
      </c>
      <c r="F35" s="3">
        <v>633.82000000000005</v>
      </c>
      <c r="G35" s="3">
        <v>633.82000000000005</v>
      </c>
    </row>
    <row r="36" spans="1:7" outlineLevel="1" x14ac:dyDescent="0.25">
      <c r="A36" s="2"/>
      <c r="B36" s="21" t="s">
        <v>198</v>
      </c>
      <c r="C36" s="2"/>
      <c r="D36" s="9"/>
      <c r="E36" s="9"/>
      <c r="F36" s="3">
        <f>SUBTOTAL(9,F25:F35)</f>
        <v>7851.2099999999991</v>
      </c>
      <c r="G36" s="3">
        <f>SUBTOTAL(9,G25:G35)</f>
        <v>7851.2099999999991</v>
      </c>
    </row>
    <row r="37" spans="1:7" outlineLevel="2" x14ac:dyDescent="0.25">
      <c r="A37" s="2" t="s">
        <v>8</v>
      </c>
      <c r="B37" s="2" t="s">
        <v>44</v>
      </c>
      <c r="C37" s="2" t="s">
        <v>43</v>
      </c>
      <c r="D37" s="9">
        <v>42230</v>
      </c>
      <c r="E37" s="9">
        <v>42218</v>
      </c>
      <c r="F37" s="3">
        <v>135.33000000000001</v>
      </c>
      <c r="G37" s="3">
        <v>135.33000000000001</v>
      </c>
    </row>
    <row r="38" spans="1:7" outlineLevel="2" x14ac:dyDescent="0.25">
      <c r="A38" s="2" t="s">
        <v>8</v>
      </c>
      <c r="B38" s="2" t="s">
        <v>44</v>
      </c>
      <c r="C38" s="2" t="s">
        <v>45</v>
      </c>
      <c r="D38" s="9">
        <v>42251</v>
      </c>
      <c r="E38" s="9">
        <v>42239</v>
      </c>
      <c r="F38" s="3">
        <v>76.81</v>
      </c>
      <c r="G38" s="3">
        <v>76.81</v>
      </c>
    </row>
    <row r="39" spans="1:7" outlineLevel="2" x14ac:dyDescent="0.25">
      <c r="A39" s="2" t="s">
        <v>8</v>
      </c>
      <c r="B39" s="2" t="s">
        <v>44</v>
      </c>
      <c r="C39" s="2" t="s">
        <v>46</v>
      </c>
      <c r="D39" s="9">
        <v>42251</v>
      </c>
      <c r="E39" s="9">
        <v>42246</v>
      </c>
      <c r="F39" s="3">
        <v>62.18</v>
      </c>
      <c r="G39" s="3">
        <v>62.18</v>
      </c>
    </row>
    <row r="40" spans="1:7" outlineLevel="2" x14ac:dyDescent="0.25">
      <c r="A40" s="2" t="s">
        <v>8</v>
      </c>
      <c r="B40" s="2" t="s">
        <v>44</v>
      </c>
      <c r="C40" s="2" t="s">
        <v>47</v>
      </c>
      <c r="D40" s="9">
        <v>42258</v>
      </c>
      <c r="E40" s="9">
        <v>42253</v>
      </c>
      <c r="F40" s="3">
        <v>87.78</v>
      </c>
      <c r="G40" s="3">
        <v>87.78</v>
      </c>
    </row>
    <row r="41" spans="1:7" outlineLevel="2" x14ac:dyDescent="0.25">
      <c r="A41" s="2" t="s">
        <v>8</v>
      </c>
      <c r="B41" s="2" t="s">
        <v>44</v>
      </c>
      <c r="C41" s="2" t="s">
        <v>48</v>
      </c>
      <c r="D41" s="9">
        <v>42279</v>
      </c>
      <c r="E41" s="9">
        <v>42267</v>
      </c>
      <c r="F41" s="3">
        <v>80.47</v>
      </c>
      <c r="G41" s="3">
        <v>80.47</v>
      </c>
    </row>
    <row r="42" spans="1:7" outlineLevel="2" x14ac:dyDescent="0.25">
      <c r="A42" s="2" t="s">
        <v>8</v>
      </c>
      <c r="B42" s="2" t="s">
        <v>44</v>
      </c>
      <c r="C42" s="2" t="s">
        <v>49</v>
      </c>
      <c r="D42" s="9">
        <v>42279</v>
      </c>
      <c r="E42" s="9">
        <v>42274</v>
      </c>
      <c r="F42" s="3">
        <v>124.36</v>
      </c>
      <c r="G42" s="3">
        <v>124.36</v>
      </c>
    </row>
    <row r="43" spans="1:7" outlineLevel="2" x14ac:dyDescent="0.25">
      <c r="A43" s="2" t="s">
        <v>8</v>
      </c>
      <c r="B43" s="2" t="s">
        <v>44</v>
      </c>
      <c r="C43" s="2" t="s">
        <v>50</v>
      </c>
      <c r="D43" s="9">
        <v>42300</v>
      </c>
      <c r="E43" s="9">
        <v>42288</v>
      </c>
      <c r="F43" s="3">
        <v>36.58</v>
      </c>
      <c r="G43" s="3">
        <v>36.58</v>
      </c>
    </row>
    <row r="44" spans="1:7" outlineLevel="2" x14ac:dyDescent="0.25">
      <c r="A44" s="2" t="s">
        <v>8</v>
      </c>
      <c r="B44" s="2" t="s">
        <v>44</v>
      </c>
      <c r="C44" s="2" t="s">
        <v>51</v>
      </c>
      <c r="D44" s="9">
        <v>42307</v>
      </c>
      <c r="E44" s="9">
        <v>42295</v>
      </c>
      <c r="F44" s="3">
        <v>65.84</v>
      </c>
      <c r="G44" s="3">
        <v>65.84</v>
      </c>
    </row>
    <row r="45" spans="1:7" outlineLevel="2" x14ac:dyDescent="0.25">
      <c r="A45" s="2" t="s">
        <v>8</v>
      </c>
      <c r="B45" s="2" t="s">
        <v>44</v>
      </c>
      <c r="C45" s="2" t="s">
        <v>52</v>
      </c>
      <c r="D45" s="9">
        <v>42307</v>
      </c>
      <c r="E45" s="9">
        <v>42302</v>
      </c>
      <c r="F45" s="3">
        <v>65.84</v>
      </c>
      <c r="G45" s="3">
        <v>65.84</v>
      </c>
    </row>
    <row r="46" spans="1:7" outlineLevel="2" x14ac:dyDescent="0.25">
      <c r="A46" s="2" t="s">
        <v>8</v>
      </c>
      <c r="B46" s="2" t="s">
        <v>44</v>
      </c>
      <c r="C46" s="2" t="s">
        <v>53</v>
      </c>
      <c r="D46" s="9">
        <v>42321</v>
      </c>
      <c r="E46" s="9">
        <v>42309</v>
      </c>
      <c r="F46" s="3">
        <v>58.52</v>
      </c>
      <c r="G46" s="3">
        <v>58.52</v>
      </c>
    </row>
    <row r="47" spans="1:7" outlineLevel="2" x14ac:dyDescent="0.25">
      <c r="A47" s="2" t="s">
        <v>8</v>
      </c>
      <c r="B47" s="2" t="s">
        <v>44</v>
      </c>
      <c r="C47" s="2" t="s">
        <v>54</v>
      </c>
      <c r="D47" s="9">
        <v>42321</v>
      </c>
      <c r="E47" s="9">
        <v>42316</v>
      </c>
      <c r="F47" s="3">
        <v>65.84</v>
      </c>
      <c r="G47" s="3">
        <v>65.84</v>
      </c>
    </row>
    <row r="48" spans="1:7" outlineLevel="2" x14ac:dyDescent="0.25">
      <c r="A48" s="2" t="s">
        <v>8</v>
      </c>
      <c r="B48" s="2" t="s">
        <v>44</v>
      </c>
      <c r="C48" s="2" t="s">
        <v>55</v>
      </c>
      <c r="D48" s="9">
        <v>42328</v>
      </c>
      <c r="E48" s="9">
        <v>42323</v>
      </c>
      <c r="F48" s="3">
        <v>73.150000000000006</v>
      </c>
      <c r="G48" s="3">
        <v>73.150000000000006</v>
      </c>
    </row>
    <row r="49" spans="1:7" outlineLevel="2" x14ac:dyDescent="0.25">
      <c r="A49" s="2" t="s">
        <v>8</v>
      </c>
      <c r="B49" s="2" t="s">
        <v>44</v>
      </c>
      <c r="C49" s="2" t="s">
        <v>56</v>
      </c>
      <c r="D49" s="9">
        <v>42342</v>
      </c>
      <c r="E49" s="9">
        <v>42330</v>
      </c>
      <c r="F49" s="3">
        <v>51.21</v>
      </c>
      <c r="G49" s="3">
        <v>51.21</v>
      </c>
    </row>
    <row r="50" spans="1:7" outlineLevel="2" x14ac:dyDescent="0.25">
      <c r="A50" s="2" t="s">
        <v>8</v>
      </c>
      <c r="B50" s="2" t="s">
        <v>44</v>
      </c>
      <c r="C50" s="2" t="s">
        <v>57</v>
      </c>
      <c r="D50" s="9">
        <v>42342</v>
      </c>
      <c r="E50" s="9">
        <v>42337</v>
      </c>
      <c r="F50" s="3">
        <v>14.63</v>
      </c>
      <c r="G50" s="3">
        <v>14.63</v>
      </c>
    </row>
    <row r="51" spans="1:7" outlineLevel="2" x14ac:dyDescent="0.25">
      <c r="A51" s="2" t="s">
        <v>8</v>
      </c>
      <c r="B51" s="2" t="s">
        <v>44</v>
      </c>
      <c r="C51" s="2" t="s">
        <v>58</v>
      </c>
      <c r="D51" s="9">
        <v>42349</v>
      </c>
      <c r="E51" s="9">
        <v>42344</v>
      </c>
      <c r="F51" s="3">
        <v>36.58</v>
      </c>
      <c r="G51" s="3">
        <v>36.58</v>
      </c>
    </row>
    <row r="52" spans="1:7" outlineLevel="1" x14ac:dyDescent="0.25">
      <c r="A52" s="2"/>
      <c r="B52" s="21" t="s">
        <v>197</v>
      </c>
      <c r="C52" s="2"/>
      <c r="D52" s="9"/>
      <c r="E52" s="9"/>
      <c r="F52" s="3">
        <f>SUBTOTAL(9,F37:F51)</f>
        <v>1035.1200000000001</v>
      </c>
      <c r="G52" s="3">
        <f>SUBTOTAL(9,G37:G51)</f>
        <v>1035.1200000000001</v>
      </c>
    </row>
    <row r="53" spans="1:7" outlineLevel="2" x14ac:dyDescent="0.25">
      <c r="A53" s="2" t="s">
        <v>8</v>
      </c>
      <c r="B53" s="2" t="s">
        <v>60</v>
      </c>
      <c r="C53" s="2" t="s">
        <v>59</v>
      </c>
      <c r="D53" s="9">
        <v>42020</v>
      </c>
      <c r="E53" s="9">
        <v>42015</v>
      </c>
      <c r="F53" s="3">
        <v>12.4</v>
      </c>
      <c r="G53" s="3">
        <v>2559.1999999999998</v>
      </c>
    </row>
    <row r="54" spans="1:7" outlineLevel="2" x14ac:dyDescent="0.25">
      <c r="A54" s="2" t="s">
        <v>8</v>
      </c>
      <c r="B54" s="2" t="s">
        <v>60</v>
      </c>
      <c r="C54" s="2" t="s">
        <v>61</v>
      </c>
      <c r="D54" s="9">
        <v>42027</v>
      </c>
      <c r="E54" s="9">
        <v>42022</v>
      </c>
      <c r="F54" s="3">
        <v>12.4</v>
      </c>
      <c r="G54" s="3">
        <v>2559.1999999999998</v>
      </c>
    </row>
    <row r="55" spans="1:7" outlineLevel="2" x14ac:dyDescent="0.25">
      <c r="A55" s="2" t="s">
        <v>8</v>
      </c>
      <c r="B55" s="2" t="s">
        <v>60</v>
      </c>
      <c r="C55" s="2" t="s">
        <v>62</v>
      </c>
      <c r="D55" s="9">
        <v>42034</v>
      </c>
      <c r="E55" s="9">
        <v>42029</v>
      </c>
      <c r="F55" s="3">
        <v>2047.36</v>
      </c>
      <c r="G55" s="3">
        <v>2047.36</v>
      </c>
    </row>
    <row r="56" spans="1:7" outlineLevel="2" x14ac:dyDescent="0.25">
      <c r="A56" s="2" t="s">
        <v>8</v>
      </c>
      <c r="B56" s="2" t="s">
        <v>60</v>
      </c>
      <c r="C56" s="2" t="s">
        <v>63</v>
      </c>
      <c r="D56" s="9">
        <v>42041</v>
      </c>
      <c r="E56" s="9">
        <v>42036</v>
      </c>
      <c r="F56" s="3">
        <v>2559.1999999999998</v>
      </c>
      <c r="G56" s="3">
        <v>2559.1999999999998</v>
      </c>
    </row>
    <row r="57" spans="1:7" outlineLevel="2" x14ac:dyDescent="0.25">
      <c r="A57" s="2" t="s">
        <v>8</v>
      </c>
      <c r="B57" s="2" t="s">
        <v>60</v>
      </c>
      <c r="C57" s="2" t="s">
        <v>64</v>
      </c>
      <c r="D57" s="9">
        <v>42097</v>
      </c>
      <c r="E57" s="9">
        <v>42092</v>
      </c>
      <c r="F57" s="3">
        <v>2559.1999999999998</v>
      </c>
      <c r="G57" s="3">
        <v>2559.1999999999998</v>
      </c>
    </row>
    <row r="58" spans="1:7" outlineLevel="2" x14ac:dyDescent="0.25">
      <c r="A58" s="2" t="s">
        <v>8</v>
      </c>
      <c r="B58" s="2" t="s">
        <v>60</v>
      </c>
      <c r="C58" s="2" t="s">
        <v>65</v>
      </c>
      <c r="D58" s="9">
        <v>42104</v>
      </c>
      <c r="E58" s="9">
        <v>42099</v>
      </c>
      <c r="F58" s="3">
        <v>2047.36</v>
      </c>
      <c r="G58" s="3">
        <v>2047.36</v>
      </c>
    </row>
    <row r="59" spans="1:7" outlineLevel="2" x14ac:dyDescent="0.25">
      <c r="A59" s="2" t="s">
        <v>8</v>
      </c>
      <c r="B59" s="2" t="s">
        <v>60</v>
      </c>
      <c r="C59" s="2" t="s">
        <v>66</v>
      </c>
      <c r="D59" s="9">
        <v>42111</v>
      </c>
      <c r="E59" s="9">
        <v>42106</v>
      </c>
      <c r="F59" s="3">
        <v>2559.1999999999998</v>
      </c>
      <c r="G59" s="3">
        <v>2559.1999999999998</v>
      </c>
    </row>
    <row r="60" spans="1:7" outlineLevel="2" x14ac:dyDescent="0.25">
      <c r="A60" s="2" t="s">
        <v>8</v>
      </c>
      <c r="B60" s="2" t="s">
        <v>60</v>
      </c>
      <c r="C60" s="2" t="s">
        <v>67</v>
      </c>
      <c r="D60" s="9">
        <v>42041</v>
      </c>
      <c r="E60" s="9"/>
      <c r="F60" s="3">
        <v>1484.7</v>
      </c>
      <c r="G60" s="3">
        <v>1484.7</v>
      </c>
    </row>
    <row r="61" spans="1:7" outlineLevel="2" x14ac:dyDescent="0.25">
      <c r="A61" s="2" t="s">
        <v>8</v>
      </c>
      <c r="B61" s="2" t="s">
        <v>60</v>
      </c>
      <c r="C61" s="2" t="s">
        <v>68</v>
      </c>
      <c r="D61" s="9">
        <v>42104</v>
      </c>
      <c r="E61" s="9"/>
      <c r="F61" s="3">
        <v>1089.8900000000001</v>
      </c>
      <c r="G61" s="3">
        <v>1089.8900000000001</v>
      </c>
    </row>
    <row r="62" spans="1:7" outlineLevel="2" x14ac:dyDescent="0.25">
      <c r="A62" s="2" t="s">
        <v>8</v>
      </c>
      <c r="B62" s="2" t="s">
        <v>60</v>
      </c>
      <c r="C62" s="2" t="s">
        <v>69</v>
      </c>
      <c r="D62" s="9">
        <v>42114</v>
      </c>
      <c r="E62" s="9"/>
      <c r="F62" s="3">
        <v>3260.37</v>
      </c>
      <c r="G62" s="3">
        <v>3260.37</v>
      </c>
    </row>
    <row r="63" spans="1:7" outlineLevel="1" x14ac:dyDescent="0.25">
      <c r="A63" s="2"/>
      <c r="B63" s="21" t="s">
        <v>196</v>
      </c>
      <c r="C63" s="2"/>
      <c r="D63" s="9"/>
      <c r="E63" s="9"/>
      <c r="F63" s="3">
        <f>SUBTOTAL(9,F53:F62)</f>
        <v>17632.079999999998</v>
      </c>
      <c r="G63" s="3">
        <f>SUBTOTAL(9,G53:G62)</f>
        <v>22725.68</v>
      </c>
    </row>
    <row r="64" spans="1:7" outlineLevel="2" x14ac:dyDescent="0.25">
      <c r="A64" s="2" t="s">
        <v>8</v>
      </c>
      <c r="B64" s="2" t="s">
        <v>71</v>
      </c>
      <c r="C64" s="2" t="s">
        <v>70</v>
      </c>
      <c r="D64" s="9">
        <v>42104</v>
      </c>
      <c r="E64" s="9">
        <v>42099</v>
      </c>
      <c r="F64" s="3">
        <v>2149.77</v>
      </c>
      <c r="G64" s="3">
        <v>2149.77</v>
      </c>
    </row>
    <row r="65" spans="1:7" outlineLevel="2" x14ac:dyDescent="0.25">
      <c r="A65" s="2" t="s">
        <v>8</v>
      </c>
      <c r="B65" s="2" t="s">
        <v>71</v>
      </c>
      <c r="C65" s="2" t="s">
        <v>72</v>
      </c>
      <c r="D65" s="9">
        <v>42111</v>
      </c>
      <c r="E65" s="9">
        <v>42106</v>
      </c>
      <c r="F65" s="3">
        <v>4299.54</v>
      </c>
      <c r="G65" s="3">
        <v>4299.54</v>
      </c>
    </row>
    <row r="66" spans="1:7" outlineLevel="2" x14ac:dyDescent="0.25">
      <c r="A66" s="2" t="s">
        <v>8</v>
      </c>
      <c r="B66" s="2" t="s">
        <v>71</v>
      </c>
      <c r="C66" s="2" t="s">
        <v>73</v>
      </c>
      <c r="D66" s="9">
        <v>42118</v>
      </c>
      <c r="E66" s="9">
        <v>42113</v>
      </c>
      <c r="F66" s="3">
        <v>4094.8</v>
      </c>
      <c r="G66" s="3">
        <v>4094.8</v>
      </c>
    </row>
    <row r="67" spans="1:7" outlineLevel="2" x14ac:dyDescent="0.25">
      <c r="A67" s="2" t="s">
        <v>8</v>
      </c>
      <c r="B67" s="2" t="s">
        <v>71</v>
      </c>
      <c r="C67" s="2" t="s">
        <v>74</v>
      </c>
      <c r="D67" s="9">
        <v>42300</v>
      </c>
      <c r="E67" s="9">
        <v>42295</v>
      </c>
      <c r="F67" s="3">
        <v>4094.8</v>
      </c>
      <c r="G67" s="3">
        <v>4094.8</v>
      </c>
    </row>
    <row r="68" spans="1:7" outlineLevel="2" x14ac:dyDescent="0.25">
      <c r="A68" s="2" t="s">
        <v>8</v>
      </c>
      <c r="B68" s="2" t="s">
        <v>71</v>
      </c>
      <c r="C68" s="2" t="s">
        <v>75</v>
      </c>
      <c r="D68" s="9">
        <v>42307</v>
      </c>
      <c r="E68" s="9">
        <v>42302</v>
      </c>
      <c r="F68" s="3">
        <v>4504.28</v>
      </c>
      <c r="G68" s="3">
        <v>4504.28</v>
      </c>
    </row>
    <row r="69" spans="1:7" outlineLevel="2" x14ac:dyDescent="0.25">
      <c r="A69" s="2" t="s">
        <v>8</v>
      </c>
      <c r="B69" s="2" t="s">
        <v>71</v>
      </c>
      <c r="C69" s="2" t="s">
        <v>76</v>
      </c>
      <c r="D69" s="9">
        <v>42314</v>
      </c>
      <c r="E69" s="9">
        <v>42309</v>
      </c>
      <c r="F69" s="3">
        <v>4504.28</v>
      </c>
      <c r="G69" s="3">
        <v>4504.28</v>
      </c>
    </row>
    <row r="70" spans="1:7" outlineLevel="2" x14ac:dyDescent="0.25">
      <c r="A70" s="2" t="s">
        <v>8</v>
      </c>
      <c r="B70" s="2" t="s">
        <v>71</v>
      </c>
      <c r="C70" s="2" t="s">
        <v>77</v>
      </c>
      <c r="D70" s="9">
        <v>42321</v>
      </c>
      <c r="E70" s="9">
        <v>42316</v>
      </c>
      <c r="F70" s="3">
        <v>4401.91</v>
      </c>
      <c r="G70" s="3">
        <v>4401.91</v>
      </c>
    </row>
    <row r="71" spans="1:7" outlineLevel="2" x14ac:dyDescent="0.25">
      <c r="A71" s="2" t="s">
        <v>8</v>
      </c>
      <c r="B71" s="2" t="s">
        <v>71</v>
      </c>
      <c r="C71" s="2" t="s">
        <v>78</v>
      </c>
      <c r="D71" s="9">
        <v>42328</v>
      </c>
      <c r="E71" s="9">
        <v>42323</v>
      </c>
      <c r="F71" s="3">
        <v>4094.8</v>
      </c>
      <c r="G71" s="3">
        <v>4094.8</v>
      </c>
    </row>
    <row r="72" spans="1:7" outlineLevel="2" x14ac:dyDescent="0.25">
      <c r="A72" s="2" t="s">
        <v>8</v>
      </c>
      <c r="B72" s="2" t="s">
        <v>71</v>
      </c>
      <c r="C72" s="2" t="s">
        <v>79</v>
      </c>
      <c r="D72" s="9">
        <v>42335</v>
      </c>
      <c r="E72" s="9">
        <v>42330</v>
      </c>
      <c r="F72" s="3">
        <v>4504.28</v>
      </c>
      <c r="G72" s="3">
        <v>4504.28</v>
      </c>
    </row>
    <row r="73" spans="1:7" outlineLevel="2" x14ac:dyDescent="0.25">
      <c r="A73" s="2" t="s">
        <v>8</v>
      </c>
      <c r="B73" s="2" t="s">
        <v>71</v>
      </c>
      <c r="C73" s="2" t="s">
        <v>80</v>
      </c>
      <c r="D73" s="9">
        <v>42349</v>
      </c>
      <c r="E73" s="9">
        <v>42337</v>
      </c>
      <c r="F73" s="3">
        <v>2968.73</v>
      </c>
      <c r="G73" s="3">
        <v>2968.73</v>
      </c>
    </row>
    <row r="74" spans="1:7" outlineLevel="1" x14ac:dyDescent="0.25">
      <c r="A74" s="2"/>
      <c r="B74" s="21" t="s">
        <v>195</v>
      </c>
      <c r="C74" s="2"/>
      <c r="D74" s="9"/>
      <c r="E74" s="9"/>
      <c r="F74" s="3">
        <f>SUBTOTAL(9,F64:F73)</f>
        <v>39617.19</v>
      </c>
      <c r="G74" s="3">
        <f>SUBTOTAL(9,G64:G73)</f>
        <v>39617.19</v>
      </c>
    </row>
    <row r="75" spans="1:7" outlineLevel="2" x14ac:dyDescent="0.25">
      <c r="A75" s="2" t="s">
        <v>8</v>
      </c>
      <c r="B75" s="2" t="s">
        <v>82</v>
      </c>
      <c r="C75" s="2" t="s">
        <v>81</v>
      </c>
      <c r="D75" s="9">
        <v>42244</v>
      </c>
      <c r="E75" s="9">
        <v>42232</v>
      </c>
      <c r="F75" s="3">
        <v>225.6</v>
      </c>
      <c r="G75" s="3">
        <v>225.6</v>
      </c>
    </row>
    <row r="76" spans="1:7" outlineLevel="2" x14ac:dyDescent="0.25">
      <c r="A76" s="2" t="s">
        <v>8</v>
      </c>
      <c r="B76" s="2" t="s">
        <v>82</v>
      </c>
      <c r="C76" s="2" t="s">
        <v>83</v>
      </c>
      <c r="D76" s="9">
        <v>42251</v>
      </c>
      <c r="E76" s="9">
        <v>42246</v>
      </c>
      <c r="F76" s="3">
        <v>225.6</v>
      </c>
      <c r="G76" s="3">
        <v>225.6</v>
      </c>
    </row>
    <row r="77" spans="1:7" outlineLevel="2" x14ac:dyDescent="0.25">
      <c r="A77" s="2" t="s">
        <v>8</v>
      </c>
      <c r="B77" s="2" t="s">
        <v>82</v>
      </c>
      <c r="C77" s="2" t="s">
        <v>84</v>
      </c>
      <c r="D77" s="9">
        <v>42258</v>
      </c>
      <c r="E77" s="9">
        <v>42253</v>
      </c>
      <c r="F77" s="3">
        <v>225.6</v>
      </c>
      <c r="G77" s="3">
        <v>225.6</v>
      </c>
    </row>
    <row r="78" spans="1:7" outlineLevel="2" x14ac:dyDescent="0.25">
      <c r="A78" s="2" t="s">
        <v>8</v>
      </c>
      <c r="B78" s="2" t="s">
        <v>82</v>
      </c>
      <c r="C78" s="2" t="s">
        <v>85</v>
      </c>
      <c r="D78" s="9">
        <v>42279</v>
      </c>
      <c r="E78" s="9">
        <v>42274</v>
      </c>
      <c r="F78" s="3">
        <v>225.6</v>
      </c>
      <c r="G78" s="3">
        <v>225.6</v>
      </c>
    </row>
    <row r="79" spans="1:7" outlineLevel="2" x14ac:dyDescent="0.25">
      <c r="A79" s="2" t="s">
        <v>8</v>
      </c>
      <c r="B79" s="2" t="s">
        <v>82</v>
      </c>
      <c r="C79" s="2" t="s">
        <v>86</v>
      </c>
      <c r="D79" s="9">
        <v>42300</v>
      </c>
      <c r="E79" s="9">
        <v>42295</v>
      </c>
      <c r="F79" s="3">
        <v>225.6</v>
      </c>
      <c r="G79" s="3">
        <v>225.6</v>
      </c>
    </row>
    <row r="80" spans="1:7" outlineLevel="2" x14ac:dyDescent="0.25">
      <c r="A80" s="2" t="s">
        <v>8</v>
      </c>
      <c r="B80" s="2" t="s">
        <v>82</v>
      </c>
      <c r="C80" s="2" t="s">
        <v>87</v>
      </c>
      <c r="D80" s="9">
        <v>42307</v>
      </c>
      <c r="E80" s="9">
        <v>42302</v>
      </c>
      <c r="F80" s="3">
        <v>225.6</v>
      </c>
      <c r="G80" s="3">
        <v>225.6</v>
      </c>
    </row>
    <row r="81" spans="1:7" outlineLevel="2" x14ac:dyDescent="0.25">
      <c r="A81" s="2" t="s">
        <v>8</v>
      </c>
      <c r="B81" s="2" t="s">
        <v>82</v>
      </c>
      <c r="C81" s="2" t="s">
        <v>88</v>
      </c>
      <c r="D81" s="9">
        <v>42314</v>
      </c>
      <c r="E81" s="9">
        <v>42309</v>
      </c>
      <c r="F81" s="3">
        <v>225.6</v>
      </c>
      <c r="G81" s="3">
        <v>225.6</v>
      </c>
    </row>
    <row r="82" spans="1:7" outlineLevel="2" x14ac:dyDescent="0.25">
      <c r="A82" s="2" t="s">
        <v>8</v>
      </c>
      <c r="B82" s="2" t="s">
        <v>82</v>
      </c>
      <c r="C82" s="2" t="s">
        <v>89</v>
      </c>
      <c r="D82" s="9">
        <v>42321</v>
      </c>
      <c r="E82" s="9">
        <v>42316</v>
      </c>
      <c r="F82" s="3">
        <v>225.6</v>
      </c>
      <c r="G82" s="3">
        <v>225.6</v>
      </c>
    </row>
    <row r="83" spans="1:7" outlineLevel="2" x14ac:dyDescent="0.25">
      <c r="A83" s="2" t="s">
        <v>8</v>
      </c>
      <c r="B83" s="2" t="s">
        <v>82</v>
      </c>
      <c r="C83" s="2" t="s">
        <v>90</v>
      </c>
      <c r="D83" s="9">
        <v>42328</v>
      </c>
      <c r="E83" s="9">
        <v>42323</v>
      </c>
      <c r="F83" s="3">
        <v>225.6</v>
      </c>
      <c r="G83" s="3">
        <v>225.6</v>
      </c>
    </row>
    <row r="84" spans="1:7" outlineLevel="2" x14ac:dyDescent="0.25">
      <c r="A84" s="2" t="s">
        <v>8</v>
      </c>
      <c r="B84" s="2" t="s">
        <v>82</v>
      </c>
      <c r="C84" s="2" t="s">
        <v>91</v>
      </c>
      <c r="D84" s="9">
        <v>42335</v>
      </c>
      <c r="E84" s="9">
        <v>42330</v>
      </c>
      <c r="F84" s="3">
        <v>225.6</v>
      </c>
      <c r="G84" s="3">
        <v>225.6</v>
      </c>
    </row>
    <row r="85" spans="1:7" outlineLevel="2" x14ac:dyDescent="0.25">
      <c r="A85" s="2" t="s">
        <v>8</v>
      </c>
      <c r="B85" s="2" t="s">
        <v>82</v>
      </c>
      <c r="C85" s="2" t="s">
        <v>92</v>
      </c>
      <c r="D85" s="9">
        <v>42342</v>
      </c>
      <c r="E85" s="9">
        <v>42337</v>
      </c>
      <c r="F85" s="3">
        <v>225.6</v>
      </c>
      <c r="G85" s="3">
        <v>225.6</v>
      </c>
    </row>
    <row r="86" spans="1:7" outlineLevel="2" x14ac:dyDescent="0.25">
      <c r="A86" s="2" t="s">
        <v>8</v>
      </c>
      <c r="B86" s="2" t="s">
        <v>82</v>
      </c>
      <c r="C86" s="2" t="s">
        <v>93</v>
      </c>
      <c r="D86" s="9">
        <v>42349</v>
      </c>
      <c r="E86" s="9">
        <v>42344</v>
      </c>
      <c r="F86" s="3">
        <v>225.6</v>
      </c>
      <c r="G86" s="3">
        <v>225.6</v>
      </c>
    </row>
    <row r="87" spans="1:7" outlineLevel="1" x14ac:dyDescent="0.25">
      <c r="A87" s="2"/>
      <c r="B87" s="21" t="s">
        <v>194</v>
      </c>
      <c r="C87" s="2"/>
      <c r="D87" s="9"/>
      <c r="E87" s="9"/>
      <c r="F87" s="3">
        <f>SUBTOTAL(9,F75:F86)</f>
        <v>2707.1999999999994</v>
      </c>
      <c r="G87" s="3">
        <f>SUBTOTAL(9,G75:G86)</f>
        <v>2707.1999999999994</v>
      </c>
    </row>
    <row r="88" spans="1:7" outlineLevel="2" x14ac:dyDescent="0.25">
      <c r="A88" s="2" t="s">
        <v>8</v>
      </c>
      <c r="B88" s="2" t="s">
        <v>95</v>
      </c>
      <c r="C88" s="2" t="s">
        <v>94</v>
      </c>
      <c r="D88" s="9">
        <v>42097</v>
      </c>
      <c r="E88" s="9">
        <v>42092</v>
      </c>
      <c r="F88" s="3">
        <v>75.25</v>
      </c>
      <c r="G88" s="3">
        <v>75.25</v>
      </c>
    </row>
    <row r="89" spans="1:7" outlineLevel="2" x14ac:dyDescent="0.25">
      <c r="A89" s="2" t="s">
        <v>8</v>
      </c>
      <c r="B89" s="2" t="s">
        <v>95</v>
      </c>
      <c r="C89" s="2" t="s">
        <v>96</v>
      </c>
      <c r="D89" s="9">
        <v>42104</v>
      </c>
      <c r="E89" s="9">
        <v>42099</v>
      </c>
      <c r="F89" s="3">
        <v>74.63</v>
      </c>
      <c r="G89" s="3">
        <v>74.63</v>
      </c>
    </row>
    <row r="90" spans="1:7" outlineLevel="2" x14ac:dyDescent="0.25">
      <c r="A90" s="2" t="s">
        <v>8</v>
      </c>
      <c r="B90" s="2" t="s">
        <v>95</v>
      </c>
      <c r="C90" s="2" t="s">
        <v>97</v>
      </c>
      <c r="D90" s="9">
        <v>42111</v>
      </c>
      <c r="E90" s="9">
        <v>42106</v>
      </c>
      <c r="F90" s="3">
        <v>69.38</v>
      </c>
      <c r="G90" s="3">
        <v>69.38</v>
      </c>
    </row>
    <row r="91" spans="1:7" outlineLevel="1" x14ac:dyDescent="0.25">
      <c r="A91" s="2"/>
      <c r="B91" s="21" t="s">
        <v>193</v>
      </c>
      <c r="C91" s="2"/>
      <c r="D91" s="9"/>
      <c r="E91" s="9"/>
      <c r="F91" s="3">
        <f>SUBTOTAL(9,F88:F90)</f>
        <v>219.26</v>
      </c>
      <c r="G91" s="3">
        <f>SUBTOTAL(9,G88:G90)</f>
        <v>219.26</v>
      </c>
    </row>
    <row r="92" spans="1:7" outlineLevel="2" x14ac:dyDescent="0.25">
      <c r="A92" s="2" t="s">
        <v>8</v>
      </c>
      <c r="B92" s="2" t="s">
        <v>99</v>
      </c>
      <c r="C92" s="2" t="s">
        <v>98</v>
      </c>
      <c r="D92" s="9">
        <v>42321</v>
      </c>
      <c r="E92" s="9">
        <v>42288</v>
      </c>
      <c r="F92" s="3">
        <v>204.88</v>
      </c>
      <c r="G92" s="3">
        <v>204.88</v>
      </c>
    </row>
    <row r="93" spans="1:7" outlineLevel="2" x14ac:dyDescent="0.25">
      <c r="A93" s="2" t="s">
        <v>8</v>
      </c>
      <c r="B93" s="2" t="s">
        <v>99</v>
      </c>
      <c r="C93" s="2" t="s">
        <v>100</v>
      </c>
      <c r="D93" s="9">
        <v>42328</v>
      </c>
      <c r="E93" s="9">
        <v>42323</v>
      </c>
      <c r="F93" s="3">
        <v>243.3</v>
      </c>
      <c r="G93" s="3">
        <v>243.3</v>
      </c>
    </row>
    <row r="94" spans="1:7" outlineLevel="2" x14ac:dyDescent="0.25">
      <c r="A94" s="2" t="s">
        <v>8</v>
      </c>
      <c r="B94" s="2" t="s">
        <v>99</v>
      </c>
      <c r="C94" s="2" t="s">
        <v>101</v>
      </c>
      <c r="D94" s="9">
        <v>42335</v>
      </c>
      <c r="E94" s="9">
        <v>42330</v>
      </c>
      <c r="F94" s="3">
        <v>256.10000000000002</v>
      </c>
      <c r="G94" s="3">
        <v>256.10000000000002</v>
      </c>
    </row>
    <row r="95" spans="1:7" outlineLevel="2" x14ac:dyDescent="0.25">
      <c r="A95" s="2" t="s">
        <v>8</v>
      </c>
      <c r="B95" s="2" t="s">
        <v>99</v>
      </c>
      <c r="C95" s="2" t="s">
        <v>102</v>
      </c>
      <c r="D95" s="9">
        <v>42342</v>
      </c>
      <c r="E95" s="9">
        <v>42337</v>
      </c>
      <c r="F95" s="3">
        <v>64.03</v>
      </c>
      <c r="G95" s="3">
        <v>64.03</v>
      </c>
    </row>
    <row r="96" spans="1:7" outlineLevel="2" x14ac:dyDescent="0.25">
      <c r="A96" s="2" t="s">
        <v>8</v>
      </c>
      <c r="B96" s="2" t="s">
        <v>99</v>
      </c>
      <c r="C96" s="2" t="s">
        <v>103</v>
      </c>
      <c r="D96" s="9">
        <v>42349</v>
      </c>
      <c r="E96" s="9">
        <v>42344</v>
      </c>
      <c r="F96" s="3">
        <v>192.08</v>
      </c>
      <c r="G96" s="3">
        <v>192.08</v>
      </c>
    </row>
    <row r="97" spans="1:7" outlineLevel="1" x14ac:dyDescent="0.25">
      <c r="A97" s="2"/>
      <c r="B97" s="21" t="s">
        <v>192</v>
      </c>
      <c r="C97" s="2"/>
      <c r="D97" s="9"/>
      <c r="E97" s="9"/>
      <c r="F97" s="3">
        <f>SUBTOTAL(9,F92:F96)</f>
        <v>960.39</v>
      </c>
      <c r="G97" s="3">
        <f>SUBTOTAL(9,G92:G96)</f>
        <v>960.39</v>
      </c>
    </row>
    <row r="98" spans="1:7" outlineLevel="2" x14ac:dyDescent="0.25">
      <c r="A98" s="2" t="s">
        <v>8</v>
      </c>
      <c r="B98" s="2" t="s">
        <v>105</v>
      </c>
      <c r="C98" s="2" t="s">
        <v>104</v>
      </c>
      <c r="D98" s="9">
        <v>42237</v>
      </c>
      <c r="E98" s="9">
        <v>42211</v>
      </c>
      <c r="F98" s="3">
        <v>0.04</v>
      </c>
      <c r="G98" s="3">
        <v>112.2</v>
      </c>
    </row>
    <row r="99" spans="1:7" outlineLevel="2" x14ac:dyDescent="0.25">
      <c r="A99" s="2" t="s">
        <v>8</v>
      </c>
      <c r="B99" s="2" t="s">
        <v>105</v>
      </c>
      <c r="C99" s="2" t="s">
        <v>106</v>
      </c>
      <c r="D99" s="9">
        <v>42244</v>
      </c>
      <c r="E99" s="9">
        <v>42232</v>
      </c>
      <c r="F99" s="3">
        <v>0.02</v>
      </c>
      <c r="G99" s="3">
        <v>56.1</v>
      </c>
    </row>
    <row r="100" spans="1:7" outlineLevel="2" x14ac:dyDescent="0.25">
      <c r="A100" s="2" t="s">
        <v>8</v>
      </c>
      <c r="B100" s="2" t="s">
        <v>105</v>
      </c>
      <c r="C100" s="2" t="s">
        <v>107</v>
      </c>
      <c r="D100" s="9">
        <v>42279</v>
      </c>
      <c r="E100" s="9">
        <v>42274</v>
      </c>
      <c r="F100" s="3">
        <v>112.2</v>
      </c>
      <c r="G100" s="3">
        <v>112.2</v>
      </c>
    </row>
    <row r="101" spans="1:7" outlineLevel="2" x14ac:dyDescent="0.25">
      <c r="A101" s="2" t="s">
        <v>8</v>
      </c>
      <c r="B101" s="2" t="s">
        <v>105</v>
      </c>
      <c r="C101" s="2" t="s">
        <v>108</v>
      </c>
      <c r="D101" s="9">
        <v>42286</v>
      </c>
      <c r="E101" s="9">
        <v>42281</v>
      </c>
      <c r="F101" s="3">
        <v>224.4</v>
      </c>
      <c r="G101" s="3">
        <v>224.4</v>
      </c>
    </row>
    <row r="102" spans="1:7" outlineLevel="2" x14ac:dyDescent="0.25">
      <c r="A102" s="2" t="s">
        <v>8</v>
      </c>
      <c r="B102" s="2" t="s">
        <v>105</v>
      </c>
      <c r="C102" s="2" t="s">
        <v>109</v>
      </c>
      <c r="D102" s="9">
        <v>42293</v>
      </c>
      <c r="E102" s="9">
        <v>42288</v>
      </c>
      <c r="F102" s="3">
        <v>84.15</v>
      </c>
      <c r="G102" s="3">
        <v>84.15</v>
      </c>
    </row>
    <row r="103" spans="1:7" outlineLevel="2" x14ac:dyDescent="0.25">
      <c r="A103" s="2" t="s">
        <v>8</v>
      </c>
      <c r="B103" s="2" t="s">
        <v>105</v>
      </c>
      <c r="C103" s="2" t="s">
        <v>110</v>
      </c>
      <c r="D103" s="9">
        <v>42307</v>
      </c>
      <c r="E103" s="9">
        <v>42295</v>
      </c>
      <c r="F103" s="3">
        <v>56.1</v>
      </c>
      <c r="G103" s="3">
        <v>56.1</v>
      </c>
    </row>
    <row r="104" spans="1:7" outlineLevel="2" x14ac:dyDescent="0.25">
      <c r="A104" s="2" t="s">
        <v>8</v>
      </c>
      <c r="B104" s="2" t="s">
        <v>105</v>
      </c>
      <c r="C104" s="2" t="s">
        <v>111</v>
      </c>
      <c r="D104" s="9">
        <v>42307</v>
      </c>
      <c r="E104" s="9">
        <v>42302</v>
      </c>
      <c r="F104" s="3">
        <v>84.15</v>
      </c>
      <c r="G104" s="3">
        <v>84.15</v>
      </c>
    </row>
    <row r="105" spans="1:7" outlineLevel="2" x14ac:dyDescent="0.25">
      <c r="A105" s="2" t="s">
        <v>8</v>
      </c>
      <c r="B105" s="2" t="s">
        <v>105</v>
      </c>
      <c r="C105" s="2" t="s">
        <v>112</v>
      </c>
      <c r="D105" s="9">
        <v>42314</v>
      </c>
      <c r="E105" s="9">
        <v>42309</v>
      </c>
      <c r="F105" s="3">
        <v>308.55</v>
      </c>
      <c r="G105" s="3">
        <v>308.55</v>
      </c>
    </row>
    <row r="106" spans="1:7" outlineLevel="2" x14ac:dyDescent="0.25">
      <c r="A106" s="2" t="s">
        <v>8</v>
      </c>
      <c r="B106" s="2" t="s">
        <v>105</v>
      </c>
      <c r="C106" s="2" t="s">
        <v>113</v>
      </c>
      <c r="D106" s="9">
        <v>42335</v>
      </c>
      <c r="E106" s="9">
        <v>42316</v>
      </c>
      <c r="F106" s="3">
        <v>84.15</v>
      </c>
      <c r="G106" s="3">
        <v>84.15</v>
      </c>
    </row>
    <row r="107" spans="1:7" outlineLevel="2" x14ac:dyDescent="0.25">
      <c r="A107" s="2" t="s">
        <v>8</v>
      </c>
      <c r="B107" s="2" t="s">
        <v>105</v>
      </c>
      <c r="C107" s="2" t="s">
        <v>114</v>
      </c>
      <c r="D107" s="9">
        <v>42335</v>
      </c>
      <c r="E107" s="9">
        <v>42330</v>
      </c>
      <c r="F107" s="3">
        <v>280.5</v>
      </c>
      <c r="G107" s="3">
        <v>280.5</v>
      </c>
    </row>
    <row r="108" spans="1:7" outlineLevel="2" x14ac:dyDescent="0.25">
      <c r="A108" s="2" t="s">
        <v>8</v>
      </c>
      <c r="B108" s="2" t="s">
        <v>105</v>
      </c>
      <c r="C108" s="2" t="s">
        <v>115</v>
      </c>
      <c r="D108" s="9">
        <v>42342</v>
      </c>
      <c r="E108" s="9">
        <v>42337</v>
      </c>
      <c r="F108" s="3">
        <v>280.5</v>
      </c>
      <c r="G108" s="3">
        <v>280.5</v>
      </c>
    </row>
    <row r="109" spans="1:7" outlineLevel="1" x14ac:dyDescent="0.25">
      <c r="A109" s="2"/>
      <c r="B109" s="21" t="s">
        <v>191</v>
      </c>
      <c r="C109" s="2"/>
      <c r="D109" s="9"/>
      <c r="E109" s="9"/>
      <c r="F109" s="3">
        <f>SUBTOTAL(9,F98:F108)</f>
        <v>1514.7600000000002</v>
      </c>
      <c r="G109" s="3">
        <f>SUBTOTAL(9,G98:G108)</f>
        <v>1683</v>
      </c>
    </row>
    <row r="110" spans="1:7" outlineLevel="2" x14ac:dyDescent="0.25">
      <c r="A110" s="2" t="s">
        <v>8</v>
      </c>
      <c r="B110" s="2" t="s">
        <v>117</v>
      </c>
      <c r="C110" s="2" t="s">
        <v>116</v>
      </c>
      <c r="D110" s="9">
        <v>42041</v>
      </c>
      <c r="E110" s="9">
        <v>42036</v>
      </c>
      <c r="F110" s="3">
        <v>417.01</v>
      </c>
      <c r="G110" s="3">
        <v>417.01</v>
      </c>
    </row>
    <row r="111" spans="1:7" outlineLevel="1" x14ac:dyDescent="0.25">
      <c r="A111" s="2"/>
      <c r="B111" s="21" t="s">
        <v>190</v>
      </c>
      <c r="C111" s="2"/>
      <c r="D111" s="9"/>
      <c r="E111" s="9"/>
      <c r="F111" s="3">
        <f>SUBTOTAL(9,F110:F110)</f>
        <v>417.01</v>
      </c>
      <c r="G111" s="3">
        <f>SUBTOTAL(9,G110:G110)</f>
        <v>417.01</v>
      </c>
    </row>
    <row r="112" spans="1:7" x14ac:dyDescent="0.25">
      <c r="A112" s="2"/>
      <c r="B112" s="21" t="s">
        <v>188</v>
      </c>
      <c r="C112" s="2"/>
      <c r="D112" s="9"/>
      <c r="E112" s="9"/>
      <c r="F112" s="3">
        <f>SUBTOTAL(9,F2:F110)</f>
        <v>94182.190000000075</v>
      </c>
      <c r="G112" s="3">
        <f>SUBTOTAL(9,G2:G110)</f>
        <v>103099.19000000005</v>
      </c>
    </row>
  </sheetData>
  <sortState xmlns:xlrd2="http://schemas.microsoft.com/office/spreadsheetml/2017/richdata2" ref="B2:B110">
    <sortCondition ref="B1:B110"/>
  </sortState>
  <dataConsolidate/>
  <mergeCells count="1">
    <mergeCell ref="K3:N6"/>
  </mergeCells>
  <dataValidations count="1">
    <dataValidation type="list" allowBlank="1" showInputMessage="1" showErrorMessage="1" promptTitle="Employee" sqref="I66" xr:uid="{F9AA0C8D-E3D4-4013-AFD9-5E1B25A7B661}">
      <formula1>$B:$B</formula1>
    </dataValidation>
  </dataValidations>
  <pageMargins left="0.7" right="0.7" top="0.75" bottom="0.75" header="0.3" footer="0.3"/>
  <pageSetup orientation="portrait" r:id="rId1"/>
  <rowBreaks count="11" manualBreakCount="11">
    <brk id="8" max="16383" man="1"/>
    <brk id="24" max="16383" man="1"/>
    <brk id="36" max="16383" man="1"/>
    <brk id="52" max="16383" man="1"/>
    <brk id="63" max="16383" man="1"/>
    <brk id="74" max="16383" man="1"/>
    <brk id="87" max="16383" man="1"/>
    <brk id="91" max="16383" man="1"/>
    <brk id="97" max="16383" man="1"/>
    <brk id="109" max="16383" man="1"/>
    <brk id="11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"/>
  <sheetViews>
    <sheetView tabSelected="1" workbookViewId="0">
      <selection activeCell="H21" sqref="H21"/>
    </sheetView>
  </sheetViews>
  <sheetFormatPr defaultColWidth="9" defaultRowHeight="14" x14ac:dyDescent="0.25"/>
  <cols>
    <col min="1" max="1" width="30.08984375" customWidth="1"/>
    <col min="2" max="2" width="6.54296875" customWidth="1"/>
    <col min="3" max="6" width="7" customWidth="1"/>
    <col min="9" max="9" width="15.90625" bestFit="1" customWidth="1"/>
    <col min="10" max="14" width="12.90625" bestFit="1" customWidth="1"/>
  </cols>
  <sheetData>
    <row r="1" spans="1:14" ht="14.5" x14ac:dyDescent="0.3">
      <c r="A1" s="1" t="s">
        <v>2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I1" s="18" t="s">
        <v>2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</row>
    <row r="2" spans="1:14" x14ac:dyDescent="0.25">
      <c r="A2" s="2" t="s">
        <v>180</v>
      </c>
      <c r="B2" s="3">
        <v>112.2</v>
      </c>
      <c r="C2">
        <v>148.38</v>
      </c>
      <c r="D2">
        <v>129.03</v>
      </c>
      <c r="E2">
        <v>148.38</v>
      </c>
      <c r="F2">
        <v>170.64</v>
      </c>
      <c r="I2" t="s">
        <v>180</v>
      </c>
      <c r="J2" s="22">
        <v>112.2</v>
      </c>
      <c r="K2" s="23">
        <v>148.38</v>
      </c>
      <c r="L2" s="23">
        <v>129.03</v>
      </c>
      <c r="M2" s="23">
        <v>148.38</v>
      </c>
      <c r="N2" s="23">
        <v>170.64</v>
      </c>
    </row>
    <row r="3" spans="1:14" x14ac:dyDescent="0.25">
      <c r="A3" s="2" t="s">
        <v>125</v>
      </c>
      <c r="B3" s="3">
        <v>56.1</v>
      </c>
      <c r="C3">
        <v>270.95</v>
      </c>
      <c r="D3">
        <v>64.52</v>
      </c>
      <c r="E3">
        <v>74.19</v>
      </c>
      <c r="F3">
        <v>85.32</v>
      </c>
      <c r="I3" t="s">
        <v>125</v>
      </c>
      <c r="J3" s="22">
        <v>56.1</v>
      </c>
      <c r="K3" s="23">
        <v>270.95</v>
      </c>
      <c r="L3" s="23">
        <v>64.52</v>
      </c>
      <c r="M3" s="23">
        <v>74.19</v>
      </c>
      <c r="N3" s="23">
        <v>85.32</v>
      </c>
    </row>
    <row r="4" spans="1:14" x14ac:dyDescent="0.25">
      <c r="A4" s="2" t="s">
        <v>181</v>
      </c>
      <c r="B4" s="3">
        <v>112.2</v>
      </c>
      <c r="C4">
        <v>321.76</v>
      </c>
      <c r="D4">
        <v>129.03</v>
      </c>
      <c r="E4">
        <v>148.38</v>
      </c>
      <c r="F4">
        <v>170.64</v>
      </c>
      <c r="I4" t="s">
        <v>182</v>
      </c>
      <c r="J4" s="22">
        <v>192.08</v>
      </c>
      <c r="K4" s="23">
        <v>204.88</v>
      </c>
      <c r="L4" s="23">
        <v>220.89</v>
      </c>
      <c r="M4" s="23">
        <v>254.03</v>
      </c>
      <c r="N4" s="23">
        <v>292.13</v>
      </c>
    </row>
    <row r="5" spans="1:14" x14ac:dyDescent="0.25">
      <c r="A5" s="2" t="s">
        <v>182</v>
      </c>
      <c r="B5" s="3">
        <v>192.08</v>
      </c>
      <c r="C5" s="3">
        <v>204.88</v>
      </c>
      <c r="D5">
        <v>220.89</v>
      </c>
      <c r="E5">
        <v>254.03</v>
      </c>
      <c r="F5">
        <v>292.13</v>
      </c>
      <c r="I5" t="s">
        <v>188</v>
      </c>
      <c r="J5" s="22">
        <v>360.38</v>
      </c>
      <c r="K5" s="23">
        <v>624.21</v>
      </c>
      <c r="L5" s="23">
        <v>414.44</v>
      </c>
      <c r="M5" s="23">
        <v>476.6</v>
      </c>
      <c r="N5" s="23">
        <v>548.08999999999992</v>
      </c>
    </row>
    <row r="8" spans="1:14" x14ac:dyDescent="0.25">
      <c r="A8" s="4" t="s">
        <v>183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Data</vt:lpstr>
      <vt:lpstr>VLOOKUP</vt:lpstr>
      <vt:lpstr>Delimited</vt:lpstr>
      <vt:lpstr>CONCATENATE</vt:lpstr>
      <vt:lpstr>Pivot</vt:lpstr>
      <vt:lpstr>Sub Total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 TRIPATHI</dc:creator>
  <cp:lastModifiedBy>Jayasree Simmanapudi</cp:lastModifiedBy>
  <dcterms:created xsi:type="dcterms:W3CDTF">2024-11-10T07:15:00Z</dcterms:created>
  <dcterms:modified xsi:type="dcterms:W3CDTF">2025-10-18T22:07:06Z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13C3402CEAB14AC2B74F77ECE1F1F13F_12</vt:lpwstr>
  </property>
  <property fmtid="{D5CDD505-2E9C-101B-9397-08002B2CF9AE}" pid="3" name="KSOProductBuildVer">
    <vt:lpwstr>1033-12.2.0.20795</vt:lpwstr>
  </property>
</Properties>
</file>