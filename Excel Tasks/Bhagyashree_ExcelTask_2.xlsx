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ju\Documents\Assignments\"/>
    </mc:Choice>
  </mc:AlternateContent>
  <xr:revisionPtr revIDLastSave="0" documentId="13_ncr:1_{B6C9DACA-B00F-416B-8622-DFD65A31EEC0}" xr6:coauthVersionLast="47" xr6:coauthVersionMax="47" xr10:uidLastSave="{00000000-0000-0000-0000-000000000000}"/>
  <bookViews>
    <workbookView xWindow="-110" yWindow="-110" windowWidth="19420" windowHeight="10300" firstSheet="5" activeTab="5" xr2:uid="{F443F4C9-D2ED-4E6E-8F15-D138D28FDB58}"/>
  </bookViews>
  <sheets>
    <sheet name=" Monthly Sales Performance" sheetId="17" r:id="rId1"/>
    <sheet name="Pizza Delivery Business" sheetId="14" r:id="rId2"/>
    <sheet name="Regression Pizza" sheetId="15" r:id="rId3"/>
    <sheet name="CoVariance_Stock" sheetId="13" r:id="rId4"/>
    <sheet name="Daily Website Traffic Analysis" sheetId="9" r:id="rId5"/>
    <sheet name="Scores_DecriptiveStats" sheetId="20" r:id="rId6"/>
    <sheet name="Academic Performance" sheetId="2" r:id="rId7"/>
    <sheet name="Event Planning Budget " sheetId="1" r:id="rId8"/>
    <sheet name="Scenario Summary" sheetId="5" r:id="rId9"/>
  </sheets>
  <definedNames>
    <definedName name="ExternalData_1" localSheetId="0" hidden="1">' Monthly Sales Performance'!$A$1:$E$13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13" l="1"/>
  <c r="I3" i="13"/>
  <c r="H2" i="13"/>
  <c r="H8" i="9" l="1"/>
  <c r="H9" i="9"/>
  <c r="H10" i="9"/>
  <c r="H11" i="9"/>
  <c r="H12" i="9"/>
  <c r="H13" i="9"/>
  <c r="H14" i="9"/>
  <c r="H15" i="9"/>
  <c r="H16" i="9"/>
  <c r="H17" i="9"/>
  <c r="H18" i="9"/>
  <c r="H19" i="9"/>
  <c r="H20" i="9"/>
  <c r="H21" i="9"/>
  <c r="H22" i="9"/>
  <c r="H23" i="9"/>
  <c r="H24" i="9"/>
  <c r="H25" i="9"/>
  <c r="H26" i="9"/>
  <c r="H27" i="9"/>
  <c r="H28" i="9"/>
  <c r="H29" i="9"/>
  <c r="H30" i="9"/>
  <c r="H31" i="9"/>
  <c r="G6" i="9"/>
  <c r="G7" i="9"/>
  <c r="G8" i="9"/>
  <c r="G9" i="9"/>
  <c r="G10" i="9"/>
  <c r="G11" i="9"/>
  <c r="G12" i="9"/>
  <c r="G13" i="9"/>
  <c r="G14" i="9"/>
  <c r="G15" i="9"/>
  <c r="G16" i="9"/>
  <c r="G17" i="9"/>
  <c r="G18" i="9"/>
  <c r="G19" i="9"/>
  <c r="G20" i="9"/>
  <c r="G21" i="9"/>
  <c r="G22" i="9"/>
  <c r="G23" i="9"/>
  <c r="G24" i="9"/>
  <c r="G25" i="9"/>
  <c r="G26" i="9"/>
  <c r="G27" i="9"/>
  <c r="G28" i="9"/>
  <c r="G29" i="9"/>
  <c r="G30" i="9"/>
  <c r="G31"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J20" i="2" l="1"/>
  <c r="I19" i="2"/>
  <c r="I20" i="2"/>
  <c r="J19" i="2"/>
  <c r="K19" i="2"/>
  <c r="L19" i="2"/>
  <c r="K20" i="2"/>
  <c r="P8" i="2"/>
  <c r="P6" i="2"/>
  <c r="P5" i="2"/>
  <c r="P4" i="2"/>
  <c r="M5" i="2"/>
  <c r="M6" i="2"/>
  <c r="B9" i="2"/>
  <c r="B10" i="2"/>
  <c r="B7" i="2"/>
  <c r="B8" i="2"/>
  <c r="J6" i="2"/>
  <c r="J5" i="2"/>
  <c r="G6" i="2"/>
  <c r="G5" i="2"/>
  <c r="D6" i="2"/>
  <c r="D5" i="2"/>
  <c r="B4" i="2"/>
  <c r="J4" i="2" s="1"/>
  <c r="D9" i="1"/>
  <c r="D10" i="1"/>
  <c r="C11" i="1"/>
  <c r="M4" i="2" l="1"/>
  <c r="M8" i="2" s="1"/>
  <c r="J8" i="2"/>
  <c r="D4" i="2"/>
  <c r="D8" i="2" s="1"/>
  <c r="G4" i="2"/>
  <c r="G8" i="2" s="1"/>
  <c r="D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082AB1-9C0C-48D5-AEB3-64313B4D409B}" keepAlive="1" name="Query - new 2" description="Connection to the 'new 2' query in the workbook." type="5" refreshedVersion="8" background="1" saveData="1">
    <dbPr connection="Provider=Microsoft.Mashup.OleDb.1;Data Source=$Workbook$;Location=&quot;new 2&quot;;Extended Properties=&quot;&quot;" command="SELECT * FROM [new 2]"/>
  </connection>
</connections>
</file>

<file path=xl/sharedStrings.xml><?xml version="1.0" encoding="utf-8"?>
<sst xmlns="http://schemas.openxmlformats.org/spreadsheetml/2006/main" count="261" uniqueCount="191">
  <si>
    <t xml:space="preserve">Base case setup: </t>
  </si>
  <si>
    <t>• Venue cost</t>
  </si>
  <si>
    <t>• Catering cost per person</t>
  </si>
  <si>
    <t>• Audio/Visual</t>
  </si>
  <si>
    <t>• Marketing</t>
  </si>
  <si>
    <t>• Expected attendees</t>
  </si>
  <si>
    <t>• Registration fee per person</t>
  </si>
  <si>
    <t>Total Catering Cost</t>
  </si>
  <si>
    <t>Expected Attendees</t>
  </si>
  <si>
    <t>Total Registration fee</t>
  </si>
  <si>
    <t>Catering cost per person</t>
  </si>
  <si>
    <t>Venue cost</t>
  </si>
  <si>
    <t>Audio/Visual</t>
  </si>
  <si>
    <t>Marketing</t>
  </si>
  <si>
    <t>$B$9</t>
  </si>
  <si>
    <t>$D$5</t>
  </si>
  <si>
    <t>$D$6</t>
  </si>
  <si>
    <t>$D$7</t>
  </si>
  <si>
    <t>$D$8</t>
  </si>
  <si>
    <t>$A$15</t>
  </si>
  <si>
    <t>Conservative</t>
  </si>
  <si>
    <t>Scenaro where the no. of attendees are 120, and Venue, Catering, Audio/Visual, Marketing costs increase by 10%.</t>
  </si>
  <si>
    <t>Expected</t>
  </si>
  <si>
    <t>Scenario for 150 attendees where there are no changes in the costs</t>
  </si>
  <si>
    <t>Optimistic</t>
  </si>
  <si>
    <t>Scenario where the attendees are 180, Venue, Catering, Audio/Visual, Marketing costs reduce by 15%.</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</si>
  <si>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</si>
  <si>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</si>
  <si>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</si>
  <si>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</si>
  <si>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</si>
  <si>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</si>
  <si>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</si>
  <si>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Quiz 2</t>
  </si>
  <si>
    <t>Quiz 3</t>
  </si>
  <si>
    <t>Midterm</t>
  </si>
  <si>
    <t>Participation</t>
  </si>
  <si>
    <t>Quiz 1</t>
  </si>
  <si>
    <t>Average of Q(1,2,3)</t>
  </si>
  <si>
    <t>Final Exam Points for 85%</t>
  </si>
  <si>
    <t>Final Exam Points for 90%</t>
  </si>
  <si>
    <t>Weighted Grade Formula</t>
  </si>
  <si>
    <t>=35%*Average(Quiz1,Quiz2,Quiz3)+25%*(Midterm Points)+10%*(Participation Points)+30%*(Final Exam Points)</t>
  </si>
  <si>
    <t>Final Exam Points for 87%  is 85.83.</t>
  </si>
  <si>
    <t>Q2)Is it realistic to achieve an A grade (93%) given current performance?</t>
  </si>
  <si>
    <t>Q1)What final exam score is needed for a B+ grade (87%)?</t>
  </si>
  <si>
    <t>No, To achieve 93%, Final exam points should be 105.83.</t>
  </si>
  <si>
    <t>Final Exam Points for 93%</t>
  </si>
  <si>
    <t>Final Exam Points for 87%</t>
  </si>
  <si>
    <t>Q3)How sensitive is the final grade to the final exam performance?</t>
  </si>
  <si>
    <t xml:space="preserve">Q1)Which scenario provides the best profit margin? 
</t>
  </si>
  <si>
    <t>Q2)What is the minimum number of attendees needed to break even?</t>
  </si>
  <si>
    <t>Q3)How sensitive is profit to changes in attendance vs. costs?</t>
  </si>
  <si>
    <t>Department</t>
  </si>
  <si>
    <t>TrainingHoursCompleted</t>
  </si>
  <si>
    <t>Performance Score</t>
  </si>
  <si>
    <t>Sales</t>
  </si>
  <si>
    <t>IT</t>
  </si>
  <si>
    <t>HR</t>
  </si>
  <si>
    <t>YearsOfExperience</t>
  </si>
  <si>
    <t>Mean</t>
  </si>
  <si>
    <t>Standard Error</t>
  </si>
  <si>
    <t>Median</t>
  </si>
  <si>
    <t>Mode</t>
  </si>
  <si>
    <t>Standard Deviation</t>
  </si>
  <si>
    <t>Sample Variance</t>
  </si>
  <si>
    <t>Kurtosis</t>
  </si>
  <si>
    <t>Skewness</t>
  </si>
  <si>
    <t>Range</t>
  </si>
  <si>
    <t>Minimum</t>
  </si>
  <si>
    <t>Maximum</t>
  </si>
  <si>
    <t>Sum</t>
  </si>
  <si>
    <t>Count</t>
  </si>
  <si>
    <t>Confidence Level(95.0%)</t>
  </si>
  <si>
    <t>Q1)What does the standard deviation tell you about performance consistency?</t>
  </si>
  <si>
    <t>Q2)Are the scores normally distributed?</t>
  </si>
  <si>
    <t>Q3)Which department shows the most consistent performance?</t>
  </si>
  <si>
    <t>Date</t>
  </si>
  <si>
    <t>Total Visits</t>
  </si>
  <si>
    <t>Unique Visitors</t>
  </si>
  <si>
    <t>Bounce Rate (%)</t>
  </si>
  <si>
    <t>Avg. Session Duration (min)</t>
  </si>
  <si>
    <t>Interval 3</t>
  </si>
  <si>
    <t>Interval 5</t>
  </si>
  <si>
    <t>Interval 7</t>
  </si>
  <si>
    <t>Month</t>
  </si>
  <si>
    <t>Stock A (%)</t>
  </si>
  <si>
    <t>Stock B (%)</t>
  </si>
  <si>
    <t>Market Index (%)</t>
  </si>
  <si>
    <t>Compare the results and interpret the relationships</t>
  </si>
  <si>
    <t>Observation</t>
  </si>
  <si>
    <t>Distance (mi)</t>
  </si>
  <si>
    <t>Delivery Time (min)</t>
  </si>
  <si>
    <t>Items Ordered</t>
  </si>
  <si>
    <t>Satisfaction (1–10)</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</si>
  <si>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</si>
  <si>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</si>
  <si>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</si>
  <si>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</si>
  <si>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</si>
  <si>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</si>
  <si>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</si>
  <si>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</si>
  <si>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</si>
  <si>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</si>
  <si>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</si>
  <si>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</si>
  <si>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</si>
  <si>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</si>
  <si>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</si>
  <si>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</si>
  <si>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</si>
  <si>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</si>
  <si>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</si>
  <si>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</si>
  <si>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</si>
  <si>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</si>
  <si>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</si>
  <si>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</si>
  <si>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Predicted Delivery Time (min)</t>
  </si>
  <si>
    <t>Residuals</t>
  </si>
  <si>
    <t>Standard Residuals</t>
  </si>
  <si>
    <t>PROBABILITY OUTPUT</t>
  </si>
  <si>
    <t>Percentile</t>
  </si>
  <si>
    <t>What does the slope coefficient tell you about delivery efficiency?</t>
  </si>
  <si>
    <t>How much of the variation in delivery time is explained by distance?</t>
  </si>
  <si>
    <t>Predicted Delivery Time can be explained by 6.85 times of distance + 6.41.</t>
  </si>
  <si>
    <t xml:space="preserve">
Slope Coefficient is telling that for each unit increase in Distance, there is a 6.85 times increase in Delivery time.</t>
  </si>
  <si>
    <t xml:space="preserve">Month    </t>
  </si>
  <si>
    <t xml:space="preserve"> Advertising </t>
  </si>
  <si>
    <t xml:space="preserve"> Sales Revenue </t>
  </si>
  <si>
    <t xml:space="preserve"> Temperature </t>
  </si>
  <si>
    <t xml:space="preserve"> Competitors </t>
  </si>
  <si>
    <t xml:space="preserve">January  </t>
  </si>
  <si>
    <t xml:space="preserve">February </t>
  </si>
  <si>
    <t xml:space="preserve">March    </t>
  </si>
  <si>
    <t xml:space="preserve">April    </t>
  </si>
  <si>
    <t xml:space="preserve">May      </t>
  </si>
  <si>
    <t>June</t>
  </si>
  <si>
    <t>July</t>
  </si>
  <si>
    <t>August</t>
  </si>
  <si>
    <t>September</t>
  </si>
  <si>
    <t>October</t>
  </si>
  <si>
    <t>November</t>
  </si>
  <si>
    <t>December</t>
  </si>
  <si>
    <t xml:space="preserve">Q1) Which variable has the strongest correlation with sales? </t>
  </si>
  <si>
    <t xml:space="preserve"> Q3) Which correlation would be most useful for business planning?</t>
  </si>
  <si>
    <t>Q2) What does a negative correlation indicate in business context?</t>
  </si>
  <si>
    <t>Sales revenue is most closely linked with temperature (correlation ≈ 0.40). Advertising also has a similar positive link (≈ 0.396), but temperature is slightly stronger.</t>
  </si>
  <si>
    <t>It means when one value goes up, the other goes down. In your data, advertising and competitors have a weak negative link (≈ -0.10). So, if competitors increase, advertising spend tends to drop a little, but the effect is very small</t>
  </si>
  <si>
    <t>The most useful ones are strong correlations (above ±0.7). Your data doesn’t have any that strong. The best you have is temperature vs. sales (≈ 0.40), which is only moderate. That suggests sales may be affected by seasons or weather, but it’s not strong enough to fully rely on for decisions.</t>
  </si>
  <si>
    <t>Jan (Yr1)</t>
  </si>
  <si>
    <t>Feb (Yr1)</t>
  </si>
  <si>
    <t>Mar (Yr1)</t>
  </si>
  <si>
    <t>Apr (Yr1)</t>
  </si>
  <si>
    <t>May (Yr1)</t>
  </si>
  <si>
    <t>Jun (Yr1)</t>
  </si>
  <si>
    <t>Jul (Yr1)</t>
  </si>
  <si>
    <t>Aug (Yr1)</t>
  </si>
  <si>
    <t>Sep (Yr1)</t>
  </si>
  <si>
    <t>Oct (Yr1)</t>
  </si>
  <si>
    <t>Nov (Yr1)</t>
  </si>
  <si>
    <t>Dec (Yr1)</t>
  </si>
  <si>
    <t>Jan (Yr2)</t>
  </si>
  <si>
    <t>Feb (Yr2)</t>
  </si>
  <si>
    <t>Mar (Yr2)</t>
  </si>
  <si>
    <t>Apr (Yr2)</t>
  </si>
  <si>
    <t>May (Yr2)</t>
  </si>
  <si>
    <t>Jun (Yr2)</t>
  </si>
  <si>
    <t>Jul (Yr2)</t>
  </si>
  <si>
    <t>Aug (Yr2)</t>
  </si>
  <si>
    <t>Sep (Yr2)</t>
  </si>
  <si>
    <t>Oct (Yr2)</t>
  </si>
  <si>
    <t>Nov (Yr2)</t>
  </si>
  <si>
    <t>Dec (Yr2)</t>
  </si>
  <si>
    <t>Stock A is most tied to the market.
Stock B also follows the market, but not as much.
Both stocks move in similar ways.</t>
  </si>
  <si>
    <t>Q1) Which moving average best smooths out daily fluctuations?</t>
  </si>
  <si>
    <t>Q2) What trends can you identify?</t>
  </si>
  <si>
    <t>Q3) When to use shorter vs. longer moving averages?</t>
  </si>
  <si>
    <t>Shorter averages (3‑day, 5‑day): Good for spotting quick changes or short‑term patterns.
Longer averages (7‑day or more): Good for seeing the bigger picture and long‑term trends.</t>
  </si>
  <si>
    <t>The 7‑day moving average smooths the data the most.
Because it looks at a whole week, it reduces the effect of short ups and downs.
The 3‑day average reacts quickly but is more “noisy.” The 5‑day average is in between.</t>
  </si>
  <si>
    <t>All moving averages show a steady upward trend in visitors over the 30 days. The 3‑day average rises faster and follows the daily numbers closely. The 7‑day average rises more slowly but shows the overall growth clearly.</t>
  </si>
  <si>
    <t>More attendance gives the best profit margin.</t>
  </si>
  <si>
    <t>150 people - less than 150 means loss, 150 means no profit &amp; no loss, more than 150 means profit.</t>
  </si>
  <si>
    <t>Profit depends more on how many people attend than on the small cost changes.</t>
  </si>
  <si>
    <t>Emp ID</t>
  </si>
  <si>
    <t>Experience (Years)</t>
  </si>
  <si>
    <t>Training Hours</t>
  </si>
  <si>
    <t>IT Team</t>
  </si>
  <si>
    <t>No, As the Skewness shows it's little right Skewed. The Scores are not normally distributed.</t>
  </si>
  <si>
    <t>Overall standard deviation ≈ 7.97, On average, scores vary about 8 points from the mean (82.2). This means most employees’ performance scores are close to the average, showing moderate consistency. Smaller deviations within departments mean more stable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</si>
</sst>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0.00"/>
    <numFmt numFmtId="165" formatCode="[$$-C09]#,##0;\-[$$-C09]#,##0"/>
    <numFmt numFmtId="166" formatCode="[$$-C09]#,##0"/>
  </numFmts>
  <fonts count="11" x14ac:knownFonts="1">
    <font>
      <sz val="11"/>
      <color theme="1"/>
      <name val="Calibri"/>
      <family val="2"/>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1"/>
      <color theme="0"/>
      <name val="Calibri"/>
      <family val="2"/>
      <scheme val="minor"/>
    </font>
    <font>
      <i/>
      <sz val="11"/>
      <color theme="1"/>
      <name val="Calibri"/>
      <family val="2"/>
      <scheme val="minor"/>
    </font>
    <font>
      <sz val="8"/>
      <name val="Calibri"/>
      <family val="2"/>
      <scheme val="minor"/>
    </font>
    <font>
      <sz val="11"/>
      <color rgb="FF000000"/>
      <name val="Calibri"/>
      <family val="2"/>
      <scheme val="minor"/>
    </font>
  </fonts>
  <fills count="8">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FFFF00"/>
        <bgColor indexed="64"/>
      </patternFill>
    </fill>
    <fill>
      <patternFill patternType="solid">
        <fgColor rgb="FF92D050"/>
        <bgColor indexed="64"/>
      </patternFill>
    </fill>
    <fill>
      <patternFill patternType="solid">
        <fgColor theme="9"/>
        <bgColor theme="9"/>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64">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5" fontId="0" fillId="0" borderId="0" xfId="0" applyNumberFormat="1"/>
    <xf numFmtId="0" fontId="1" fillId="0" borderId="0" xfId="0" applyFont="1" applyAlignment="1">
      <alignment horizontal="center"/>
    </xf>
    <xf numFmtId="0" fontId="1" fillId="0" borderId="1" xfId="0" applyFont="1" applyBorder="1" applyAlignment="1">
      <alignment horizontal="center"/>
    </xf>
    <xf numFmtId="165" fontId="0" fillId="0" borderId="1" xfId="0" applyNumberFormat="1" applyBorder="1" applyAlignment="1">
      <alignment horizontal="center"/>
    </xf>
    <xf numFmtId="166" fontId="0" fillId="0" borderId="1" xfId="0" applyNumberFormat="1" applyBorder="1" applyAlignment="1">
      <alignment horizontal="center"/>
    </xf>
    <xf numFmtId="0" fontId="0" fillId="0" borderId="3" xfId="0" applyBorder="1"/>
    <xf numFmtId="0" fontId="2" fillId="2" borderId="4" xfId="0" applyFont="1" applyFill="1" applyBorder="1" applyAlignment="1">
      <alignment horizontal="left"/>
    </xf>
    <xf numFmtId="0" fontId="2" fillId="2" borderId="2" xfId="0" applyFont="1" applyFill="1" applyBorder="1" applyAlignment="1">
      <alignment horizontal="left"/>
    </xf>
    <xf numFmtId="0" fontId="0" fillId="0" borderId="5" xfId="0" applyBorder="1"/>
    <xf numFmtId="0" fontId="3" fillId="3" borderId="0" xfId="0" applyFont="1" applyFill="1" applyAlignment="1">
      <alignment horizontal="left"/>
    </xf>
    <xf numFmtId="0" fontId="4" fillId="3" borderId="5" xfId="0" applyFont="1" applyFill="1" applyBorder="1" applyAlignment="1">
      <alignment horizontal="left"/>
    </xf>
    <xf numFmtId="0" fontId="3" fillId="3" borderId="3" xfId="0" applyFont="1" applyFill="1" applyBorder="1" applyAlignment="1">
      <alignment horizontal="left"/>
    </xf>
    <xf numFmtId="0" fontId="5" fillId="2" borderId="2" xfId="0" applyFont="1" applyFill="1" applyBorder="1" applyAlignment="1">
      <alignment horizontal="right"/>
    </xf>
    <xf numFmtId="0" fontId="5" fillId="2" borderId="4" xfId="0" applyFont="1" applyFill="1" applyBorder="1" applyAlignment="1">
      <alignment horizontal="right"/>
    </xf>
    <xf numFmtId="0" fontId="0" fillId="4" borderId="0" xfId="0" applyFill="1"/>
    <xf numFmtId="165" fontId="0" fillId="4" borderId="0" xfId="0" applyNumberFormat="1" applyFill="1"/>
    <xf numFmtId="0" fontId="6" fillId="0" borderId="0" xfId="0" applyFont="1" applyAlignment="1">
      <alignment vertical="top" wrapText="1"/>
    </xf>
    <xf numFmtId="0" fontId="0" fillId="0" borderId="0" xfId="0" applyAlignment="1">
      <alignment horizontal="center" wrapText="1"/>
    </xf>
    <xf numFmtId="9" fontId="0" fillId="0" borderId="0" xfId="0" applyNumberFormat="1"/>
    <xf numFmtId="2" fontId="0" fillId="0" borderId="0" xfId="0" applyNumberFormat="1"/>
    <xf numFmtId="9" fontId="0" fillId="0" borderId="1" xfId="0" applyNumberFormat="1" applyBorder="1"/>
    <xf numFmtId="0" fontId="0" fillId="0" borderId="1" xfId="0" applyBorder="1"/>
    <xf numFmtId="9" fontId="0" fillId="0" borderId="6" xfId="0" applyNumberFormat="1" applyBorder="1"/>
    <xf numFmtId="2" fontId="0" fillId="0" borderId="1" xfId="0" applyNumberFormat="1" applyBorder="1" applyAlignment="1">
      <alignment horizontal="center"/>
    </xf>
    <xf numFmtId="2" fontId="0" fillId="0" borderId="0" xfId="0" quotePrefix="1" applyNumberFormat="1" applyAlignment="1">
      <alignment horizontal="center" vertical="center" wrapText="1"/>
    </xf>
    <xf numFmtId="0" fontId="1" fillId="5" borderId="0" xfId="0" applyFont="1" applyFill="1" applyAlignment="1">
      <alignment horizontal="center" vertical="center" wrapText="1"/>
    </xf>
    <xf numFmtId="2" fontId="0" fillId="5" borderId="0" xfId="0" quotePrefix="1" applyNumberFormat="1" applyFill="1"/>
    <xf numFmtId="0" fontId="0" fillId="5" borderId="0" xfId="0" applyFill="1"/>
    <xf numFmtId="2" fontId="1" fillId="5" borderId="0" xfId="0" quotePrefix="1" applyNumberFormat="1" applyFont="1" applyFill="1"/>
    <xf numFmtId="0" fontId="8" fillId="0" borderId="7" xfId="0" applyFont="1" applyBorder="1" applyAlignment="1">
      <alignment horizontal="center"/>
    </xf>
    <xf numFmtId="0" fontId="0" fillId="0" borderId="0" xfId="0" applyAlignment="1">
      <alignment horizontal="center" vertical="center" wrapText="1"/>
    </xf>
    <xf numFmtId="17" fontId="0" fillId="0" borderId="0" xfId="0" applyNumberFormat="1" applyAlignment="1">
      <alignment horizontal="center" vertical="center" wrapText="1"/>
    </xf>
    <xf numFmtId="3" fontId="0" fillId="0" borderId="0" xfId="0" applyNumberFormat="1" applyAlignment="1">
      <alignment horizontal="center" vertical="center" wrapText="1"/>
    </xf>
    <xf numFmtId="0" fontId="1" fillId="6" borderId="0" xfId="0" applyFont="1" applyFill="1" applyAlignment="1">
      <alignment horizontal="center" vertical="center" wrapText="1"/>
    </xf>
    <xf numFmtId="0" fontId="1" fillId="6" borderId="1" xfId="0" applyFont="1" applyFill="1" applyBorder="1" applyAlignment="1">
      <alignment horizontal="center" vertical="center" wrapText="1"/>
    </xf>
    <xf numFmtId="0" fontId="0" fillId="0" borderId="1" xfId="0" applyBorder="1" applyAlignment="1">
      <alignment horizontal="center" vertical="center" wrapText="1"/>
    </xf>
    <xf numFmtId="0" fontId="7" fillId="7" borderId="8" xfId="0" applyFont="1" applyFill="1" applyBorder="1"/>
    <xf numFmtId="0" fontId="7" fillId="7" borderId="9" xfId="0" applyFont="1" applyFill="1" applyBorder="1"/>
    <xf numFmtId="0" fontId="10" fillId="0" borderId="0" xfId="0" applyFont="1"/>
    <xf numFmtId="0" fontId="0" fillId="0" borderId="1" xfId="0" applyBorder="1" applyAlignment="1">
      <alignment horizontal="center"/>
    </xf>
    <xf numFmtId="0" fontId="0" fillId="6" borderId="0" xfId="0" applyFill="1"/>
    <xf numFmtId="0" fontId="8" fillId="6"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0" fillId="0" borderId="0" xfId="0" applyFont="1" applyAlignment="1">
      <alignment horizontal="center"/>
    </xf>
    <xf numFmtId="0" fontId="0" fillId="0" borderId="0" xfId="0" applyAlignment="1">
      <alignment horizontal="center" vertical="top" wrapText="1"/>
    </xf>
    <xf numFmtId="0" fontId="10" fillId="0" borderId="0" xfId="0" applyFont="1" applyAlignment="1">
      <alignment horizontal="center" vertical="top" wrapText="1"/>
    </xf>
    <xf numFmtId="0" fontId="0" fillId="0" borderId="0" xfId="0" applyAlignment="1">
      <alignment horizontal="center" wrapText="1"/>
    </xf>
    <xf numFmtId="0" fontId="8" fillId="6" borderId="7" xfId="0" applyFont="1" applyFill="1" applyBorder="1" applyAlignment="1">
      <alignment horizontal="center"/>
    </xf>
    <xf numFmtId="9" fontId="0" fillId="0" borderId="0" xfId="0" applyNumberFormat="1" applyAlignment="1">
      <alignment horizontal="center"/>
    </xf>
    <xf numFmtId="0" fontId="1" fillId="0" borderId="0" xfId="0" applyFont="1" applyAlignment="1">
      <alignment horizontal="center"/>
    </xf>
    <xf numFmtId="165" fontId="0" fillId="0" borderId="0" xfId="0" applyNumberFormat="1" applyAlignment="1">
      <alignment horizontal="center" wrapTex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Distance (mi) Line Fit  Plot</a:t>
            </a:r>
          </a:p>
        </c:rich>
      </c:tx>
      <c:overlay val="0"/>
    </c:title>
    <c:autoTitleDeleted val="0"/>
    <c:plotArea>
      <c:layout/>
      <c:scatterChart>
        <c:scatterStyle val="lineMarker"/>
        <c:varyColors val="0"/>
        <c:ser>
          <c:idx val="0"/>
          <c:order val="0"/>
          <c:tx>
            <c:v>Delivery Time (min)</c:v>
          </c:tx>
          <c:spPr>
            <a:ln w="19050">
              <a:noFill/>
            </a:ln>
          </c:spPr>
          <c:xVal>
            <c:numRef>
              <c:f>'Pizza Delivery Business'!$B$2:$B$21</c:f>
              <c:numCache>
                <c:formatCode>General</c:formatCode>
                <c:ptCount val="20"/>
                <c:pt idx="0">
                  <c:v>1.2</c:v>
                </c:pt>
                <c:pt idx="1">
                  <c:v>2.5</c:v>
                </c:pt>
                <c:pt idx="2">
                  <c:v>0.8</c:v>
                </c:pt>
                <c:pt idx="3">
                  <c:v>3.1</c:v>
                </c:pt>
                <c:pt idx="4">
                  <c:v>1.7</c:v>
                </c:pt>
                <c:pt idx="5">
                  <c:v>4</c:v>
                </c:pt>
                <c:pt idx="6">
                  <c:v>2.2000000000000002</c:v>
                </c:pt>
                <c:pt idx="7">
                  <c:v>0.5</c:v>
                </c:pt>
                <c:pt idx="8">
                  <c:v>3.8</c:v>
                </c:pt>
                <c:pt idx="9">
                  <c:v>1</c:v>
                </c:pt>
                <c:pt idx="10">
                  <c:v>2.9</c:v>
                </c:pt>
                <c:pt idx="11">
                  <c:v>1.5</c:v>
                </c:pt>
                <c:pt idx="12">
                  <c:v>0.9</c:v>
                </c:pt>
                <c:pt idx="13">
                  <c:v>3.5</c:v>
                </c:pt>
                <c:pt idx="14">
                  <c:v>2</c:v>
                </c:pt>
                <c:pt idx="15">
                  <c:v>4.2</c:v>
                </c:pt>
                <c:pt idx="16">
                  <c:v>1.3</c:v>
                </c:pt>
                <c:pt idx="17">
                  <c:v>2.7</c:v>
                </c:pt>
                <c:pt idx="18">
                  <c:v>0.6</c:v>
                </c:pt>
                <c:pt idx="19">
                  <c:v>3.3</c:v>
                </c:pt>
              </c:numCache>
            </c:numRef>
          </c:xVal>
          <c:yVal>
            <c:numRef>
              <c:f>'Pizza Delivery Business'!$C$2:$C$21</c:f>
              <c:numCache>
                <c:formatCode>General</c:formatCode>
                <c:ptCount val="20"/>
                <c:pt idx="0">
                  <c:v>15</c:v>
                </c:pt>
                <c:pt idx="1">
                  <c:v>22</c:v>
                </c:pt>
                <c:pt idx="2">
                  <c:v>12</c:v>
                </c:pt>
                <c:pt idx="3">
                  <c:v>28</c:v>
                </c:pt>
                <c:pt idx="4">
                  <c:v>18</c:v>
                </c:pt>
                <c:pt idx="5">
                  <c:v>35</c:v>
                </c:pt>
                <c:pt idx="6">
                  <c:v>20</c:v>
                </c:pt>
                <c:pt idx="7">
                  <c:v>10</c:v>
                </c:pt>
                <c:pt idx="8">
                  <c:v>32</c:v>
                </c:pt>
                <c:pt idx="9">
                  <c:v>14</c:v>
                </c:pt>
                <c:pt idx="10">
                  <c:v>26</c:v>
                </c:pt>
                <c:pt idx="11">
                  <c:v>17</c:v>
                </c:pt>
                <c:pt idx="12">
                  <c:v>13</c:v>
                </c:pt>
                <c:pt idx="13">
                  <c:v>30</c:v>
                </c:pt>
                <c:pt idx="14">
                  <c:v>19</c:v>
                </c:pt>
                <c:pt idx="15">
                  <c:v>37</c:v>
                </c:pt>
                <c:pt idx="16">
                  <c:v>16</c:v>
                </c:pt>
                <c:pt idx="17">
                  <c:v>24</c:v>
                </c:pt>
                <c:pt idx="18">
                  <c:v>11</c:v>
                </c:pt>
                <c:pt idx="19">
                  <c:v>29</c:v>
                </c:pt>
              </c:numCache>
            </c:numRef>
          </c:yVal>
          <c:smooth val="0"/>
          <c:extLst>
            <c:ext xmlns:c16="http://schemas.microsoft.com/office/drawing/2014/chart" uri="{C3380CC4-5D6E-409C-BE32-E72D297353CC}">
              <c16:uniqueId val="{00000004-3F84-4AC4-A25C-80021642A6AE}"/>
            </c:ext>
          </c:extLst>
        </c:ser>
        <c:ser>
          <c:idx val="1"/>
          <c:order val="1"/>
          <c:tx>
            <c:v>Predicted Delivery Time (min)</c:v>
          </c:tx>
          <c:spPr>
            <a:ln w="19050">
              <a:noFill/>
            </a:ln>
          </c:spPr>
          <c:xVal>
            <c:numRef>
              <c:f>'Pizza Delivery Business'!$B$2:$B$21</c:f>
              <c:numCache>
                <c:formatCode>General</c:formatCode>
                <c:ptCount val="20"/>
                <c:pt idx="0">
                  <c:v>1.2</c:v>
                </c:pt>
                <c:pt idx="1">
                  <c:v>2.5</c:v>
                </c:pt>
                <c:pt idx="2">
                  <c:v>0.8</c:v>
                </c:pt>
                <c:pt idx="3">
                  <c:v>3.1</c:v>
                </c:pt>
                <c:pt idx="4">
                  <c:v>1.7</c:v>
                </c:pt>
                <c:pt idx="5">
                  <c:v>4</c:v>
                </c:pt>
                <c:pt idx="6">
                  <c:v>2.2000000000000002</c:v>
                </c:pt>
                <c:pt idx="7">
                  <c:v>0.5</c:v>
                </c:pt>
                <c:pt idx="8">
                  <c:v>3.8</c:v>
                </c:pt>
                <c:pt idx="9">
                  <c:v>1</c:v>
                </c:pt>
                <c:pt idx="10">
                  <c:v>2.9</c:v>
                </c:pt>
                <c:pt idx="11">
                  <c:v>1.5</c:v>
                </c:pt>
                <c:pt idx="12">
                  <c:v>0.9</c:v>
                </c:pt>
                <c:pt idx="13">
                  <c:v>3.5</c:v>
                </c:pt>
                <c:pt idx="14">
                  <c:v>2</c:v>
                </c:pt>
                <c:pt idx="15">
                  <c:v>4.2</c:v>
                </c:pt>
                <c:pt idx="16">
                  <c:v>1.3</c:v>
                </c:pt>
                <c:pt idx="17">
                  <c:v>2.7</c:v>
                </c:pt>
                <c:pt idx="18">
                  <c:v>0.6</c:v>
                </c:pt>
                <c:pt idx="19">
                  <c:v>3.3</c:v>
                </c:pt>
              </c:numCache>
            </c:numRef>
          </c:xVal>
          <c:yVal>
            <c:numRef>
              <c:f>'Regression Pizza'!$B$25:$B$44</c:f>
              <c:numCache>
                <c:formatCode>General</c:formatCode>
                <c:ptCount val="20"/>
                <c:pt idx="0">
                  <c:v>14.646247110010744</c:v>
                </c:pt>
                <c:pt idx="1">
                  <c:v>23.559829604412808</c:v>
                </c:pt>
                <c:pt idx="2">
                  <c:v>11.903606342502417</c:v>
                </c:pt>
                <c:pt idx="3">
                  <c:v>27.673790755675302</c:v>
                </c:pt>
                <c:pt idx="4">
                  <c:v>18.074548069396151</c:v>
                </c:pt>
                <c:pt idx="5">
                  <c:v>33.844732482569043</c:v>
                </c:pt>
                <c:pt idx="6">
                  <c:v>21.502849028781565</c:v>
                </c:pt>
                <c:pt idx="7">
                  <c:v>9.8466257668711705</c:v>
                </c:pt>
                <c:pt idx="8">
                  <c:v>32.473412098814876</c:v>
                </c:pt>
                <c:pt idx="9">
                  <c:v>13.274926726256581</c:v>
                </c:pt>
                <c:pt idx="10">
                  <c:v>26.302470371921139</c:v>
                </c:pt>
                <c:pt idx="11">
                  <c:v>16.703227685641991</c:v>
                </c:pt>
                <c:pt idx="12">
                  <c:v>12.589266534379497</c:v>
                </c:pt>
                <c:pt idx="13">
                  <c:v>30.416431523183629</c:v>
                </c:pt>
                <c:pt idx="14">
                  <c:v>20.131528645027402</c:v>
                </c:pt>
                <c:pt idx="15">
                  <c:v>35.216052866323203</c:v>
                </c:pt>
                <c:pt idx="16">
                  <c:v>15.331907301887826</c:v>
                </c:pt>
                <c:pt idx="17">
                  <c:v>24.931149988166975</c:v>
                </c:pt>
                <c:pt idx="18">
                  <c:v>10.532285958748252</c:v>
                </c:pt>
                <c:pt idx="19">
                  <c:v>29.045111139429466</c:v>
                </c:pt>
              </c:numCache>
            </c:numRef>
          </c:yVal>
          <c:smooth val="0"/>
          <c:extLst>
            <c:ext xmlns:c16="http://schemas.microsoft.com/office/drawing/2014/chart" uri="{C3380CC4-5D6E-409C-BE32-E72D297353CC}">
              <c16:uniqueId val="{00000005-3F84-4AC4-A25C-80021642A6AE}"/>
            </c:ext>
          </c:extLst>
        </c:ser>
        <c:dLbls>
          <c:showLegendKey val="0"/>
          <c:showVal val="0"/>
          <c:showCatName val="0"/>
          <c:showSerName val="0"/>
          <c:showPercent val="0"/>
          <c:showBubbleSize val="0"/>
        </c:dLbls>
        <c:axId val="1172773023"/>
        <c:axId val="1172706303"/>
      </c:scatterChart>
      <c:valAx>
        <c:axId val="1172773023"/>
        <c:scaling>
          <c:orientation val="minMax"/>
        </c:scaling>
        <c:delete val="0"/>
        <c:axPos val="b"/>
        <c:title>
          <c:tx>
            <c:rich>
              <a:bodyPr/>
              <a:lstStyle/>
              <a:p>
                <a:pPr>
                  <a:defRPr/>
                </a:pPr>
                <a:r>
                  <a:rPr lang="en-IN"/>
                  <a:t>Distance (mi)</a:t>
                </a:r>
              </a:p>
            </c:rich>
          </c:tx>
          <c:overlay val="0"/>
        </c:title>
        <c:numFmt formatCode="General" sourceLinked="1"/>
        <c:majorTickMark val="out"/>
        <c:minorTickMark val="none"/>
        <c:tickLblPos val="nextTo"/>
        <c:crossAx val="1172706303"/>
        <c:crosses val="autoZero"/>
        <c:crossBetween val="midCat"/>
      </c:valAx>
      <c:valAx>
        <c:axId val="1172706303"/>
        <c:scaling>
          <c:orientation val="minMax"/>
        </c:scaling>
        <c:delete val="0"/>
        <c:axPos val="l"/>
        <c:title>
          <c:tx>
            <c:rich>
              <a:bodyPr/>
              <a:lstStyle/>
              <a:p>
                <a:pPr>
                  <a:defRPr/>
                </a:pPr>
                <a:r>
                  <a:rPr lang="en-IN"/>
                  <a:t>Delivery Time (min)</a:t>
                </a:r>
              </a:p>
            </c:rich>
          </c:tx>
          <c:overlay val="0"/>
        </c:title>
        <c:numFmt formatCode="General" sourceLinked="1"/>
        <c:majorTickMark val="out"/>
        <c:minorTickMark val="none"/>
        <c:tickLblPos val="nextTo"/>
        <c:crossAx val="1172773023"/>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Session vs Moving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3"/>
          <c:tx>
            <c:strRef>
              <c:f>'Daily Website Traffic Analysis'!$E$1</c:f>
              <c:strCache>
                <c:ptCount val="1"/>
                <c:pt idx="0">
                  <c:v>Avg. Session Duration (min)</c:v>
                </c:pt>
              </c:strCache>
            </c:strRef>
          </c:tx>
          <c:spPr>
            <a:ln w="28575" cap="rnd">
              <a:solidFill>
                <a:schemeClr val="accent4"/>
              </a:solidFill>
              <a:round/>
            </a:ln>
            <a:effectLst/>
          </c:spPr>
          <c:marker>
            <c:symbol val="none"/>
          </c:marker>
          <c:cat>
            <c:numRef>
              <c:f>'Daily Website Traffic Analysis'!$A$2:$A$31</c:f>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f>'Daily Website Traffic Analysis'!$E$2:$E$31</c:f>
              <c:numCache>
                <c:formatCode>General</c:formatCode>
                <c:ptCount val="30"/>
                <c:pt idx="0">
                  <c:v>3.2</c:v>
                </c:pt>
                <c:pt idx="1">
                  <c:v>3.4</c:v>
                </c:pt>
                <c:pt idx="2">
                  <c:v>3.1</c:v>
                </c:pt>
                <c:pt idx="3">
                  <c:v>3.5</c:v>
                </c:pt>
                <c:pt idx="4">
                  <c:v>2.9</c:v>
                </c:pt>
                <c:pt idx="5">
                  <c:v>2.8</c:v>
                </c:pt>
                <c:pt idx="6">
                  <c:v>3.3</c:v>
                </c:pt>
                <c:pt idx="7">
                  <c:v>3.6</c:v>
                </c:pt>
                <c:pt idx="8">
                  <c:v>3.7</c:v>
                </c:pt>
                <c:pt idx="9">
                  <c:v>3.2</c:v>
                </c:pt>
                <c:pt idx="10">
                  <c:v>3</c:v>
                </c:pt>
                <c:pt idx="11">
                  <c:v>3.4</c:v>
                </c:pt>
                <c:pt idx="12">
                  <c:v>3.6</c:v>
                </c:pt>
                <c:pt idx="13">
                  <c:v>3.8</c:v>
                </c:pt>
                <c:pt idx="14">
                  <c:v>3.9</c:v>
                </c:pt>
                <c:pt idx="15">
                  <c:v>3.7</c:v>
                </c:pt>
                <c:pt idx="16">
                  <c:v>3.3</c:v>
                </c:pt>
                <c:pt idx="17">
                  <c:v>3.1</c:v>
                </c:pt>
                <c:pt idx="18">
                  <c:v>2.9</c:v>
                </c:pt>
                <c:pt idx="19">
                  <c:v>3.2</c:v>
                </c:pt>
                <c:pt idx="20">
                  <c:v>3.5</c:v>
                </c:pt>
                <c:pt idx="21">
                  <c:v>3.7</c:v>
                </c:pt>
                <c:pt idx="22">
                  <c:v>3.8</c:v>
                </c:pt>
                <c:pt idx="23">
                  <c:v>4</c:v>
                </c:pt>
                <c:pt idx="24">
                  <c:v>3.6</c:v>
                </c:pt>
                <c:pt idx="25">
                  <c:v>3.3</c:v>
                </c:pt>
                <c:pt idx="26">
                  <c:v>3</c:v>
                </c:pt>
                <c:pt idx="27">
                  <c:v>2.9</c:v>
                </c:pt>
                <c:pt idx="28">
                  <c:v>3.2</c:v>
                </c:pt>
                <c:pt idx="29">
                  <c:v>3.4</c:v>
                </c:pt>
              </c:numCache>
            </c:numRef>
          </c:val>
          <c:smooth val="0"/>
          <c:extLst>
            <c:ext xmlns:c16="http://schemas.microsoft.com/office/drawing/2014/chart" uri="{C3380CC4-5D6E-409C-BE32-E72D297353CC}">
              <c16:uniqueId val="{00000003-0574-4634-A0FB-8A332E59653A}"/>
            </c:ext>
          </c:extLst>
        </c:ser>
        <c:ser>
          <c:idx val="4"/>
          <c:order val="4"/>
          <c:tx>
            <c:strRef>
              <c:f>'Daily Website Traffic Analysis'!$F$1</c:f>
              <c:strCache>
                <c:ptCount val="1"/>
                <c:pt idx="0">
                  <c:v>Interval 3</c:v>
                </c:pt>
              </c:strCache>
            </c:strRef>
          </c:tx>
          <c:spPr>
            <a:ln w="28575" cap="rnd">
              <a:solidFill>
                <a:schemeClr val="accent5"/>
              </a:solidFill>
              <a:round/>
            </a:ln>
            <a:effectLst/>
          </c:spPr>
          <c:marker>
            <c:symbol val="none"/>
          </c:marker>
          <c:cat>
            <c:numRef>
              <c:f>'Daily Website Traffic Analysis'!$A$2:$A$31</c:f>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f>'Daily Website Traffic Analysis'!$F$2:$F$31</c:f>
              <c:numCache>
                <c:formatCode>General</c:formatCode>
                <c:ptCount val="30"/>
                <c:pt idx="0">
                  <c:v>#N/A</c:v>
                </c:pt>
                <c:pt idx="1">
                  <c:v>#N/A</c:v>
                </c:pt>
                <c:pt idx="2">
                  <c:v>3.2333333333333329</c:v>
                </c:pt>
                <c:pt idx="3">
                  <c:v>3.3333333333333335</c:v>
                </c:pt>
                <c:pt idx="4">
                  <c:v>3.1666666666666665</c:v>
                </c:pt>
                <c:pt idx="5">
                  <c:v>3.0666666666666664</c:v>
                </c:pt>
                <c:pt idx="6">
                  <c:v>3</c:v>
                </c:pt>
                <c:pt idx="7">
                  <c:v>3.2333333333333329</c:v>
                </c:pt>
                <c:pt idx="8">
                  <c:v>3.5333333333333337</c:v>
                </c:pt>
                <c:pt idx="9">
                  <c:v>3.5</c:v>
                </c:pt>
                <c:pt idx="10">
                  <c:v>3.3000000000000003</c:v>
                </c:pt>
                <c:pt idx="11">
                  <c:v>3.1999999999999997</c:v>
                </c:pt>
                <c:pt idx="12">
                  <c:v>3.3333333333333335</c:v>
                </c:pt>
                <c:pt idx="13">
                  <c:v>3.6</c:v>
                </c:pt>
                <c:pt idx="14">
                  <c:v>3.7666666666666671</c:v>
                </c:pt>
                <c:pt idx="15">
                  <c:v>3.7999999999999994</c:v>
                </c:pt>
                <c:pt idx="16">
                  <c:v>3.6333333333333329</c:v>
                </c:pt>
                <c:pt idx="17">
                  <c:v>3.3666666666666667</c:v>
                </c:pt>
                <c:pt idx="18">
                  <c:v>3.1</c:v>
                </c:pt>
                <c:pt idx="19">
                  <c:v>3.0666666666666664</c:v>
                </c:pt>
                <c:pt idx="20">
                  <c:v>3.1999999999999997</c:v>
                </c:pt>
                <c:pt idx="21">
                  <c:v>3.4666666666666668</c:v>
                </c:pt>
                <c:pt idx="22">
                  <c:v>3.6666666666666665</c:v>
                </c:pt>
                <c:pt idx="23">
                  <c:v>3.8333333333333335</c:v>
                </c:pt>
                <c:pt idx="24">
                  <c:v>3.8000000000000003</c:v>
                </c:pt>
                <c:pt idx="25">
                  <c:v>3.6333333333333329</c:v>
                </c:pt>
                <c:pt idx="26">
                  <c:v>3.3000000000000003</c:v>
                </c:pt>
                <c:pt idx="27">
                  <c:v>3.0666666666666664</c:v>
                </c:pt>
                <c:pt idx="28">
                  <c:v>3.0333333333333337</c:v>
                </c:pt>
                <c:pt idx="29">
                  <c:v>3.1666666666666665</c:v>
                </c:pt>
              </c:numCache>
            </c:numRef>
          </c:val>
          <c:smooth val="0"/>
          <c:extLst>
            <c:ext xmlns:c16="http://schemas.microsoft.com/office/drawing/2014/chart" uri="{C3380CC4-5D6E-409C-BE32-E72D297353CC}">
              <c16:uniqueId val="{00000004-0574-4634-A0FB-8A332E59653A}"/>
            </c:ext>
          </c:extLst>
        </c:ser>
        <c:ser>
          <c:idx val="5"/>
          <c:order val="5"/>
          <c:tx>
            <c:strRef>
              <c:f>'Daily Website Traffic Analysis'!$G$1</c:f>
              <c:strCache>
                <c:ptCount val="1"/>
                <c:pt idx="0">
                  <c:v>Interval 5</c:v>
                </c:pt>
              </c:strCache>
            </c:strRef>
          </c:tx>
          <c:spPr>
            <a:ln w="28575" cap="rnd">
              <a:solidFill>
                <a:schemeClr val="accent6"/>
              </a:solidFill>
              <a:round/>
            </a:ln>
            <a:effectLst/>
          </c:spPr>
          <c:marker>
            <c:symbol val="none"/>
          </c:marker>
          <c:cat>
            <c:numRef>
              <c:f>'Daily Website Traffic Analysis'!$A$2:$A$31</c:f>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f>'Daily Website Traffic Analysis'!$G$2:$G$31</c:f>
              <c:numCache>
                <c:formatCode>General</c:formatCode>
                <c:ptCount val="30"/>
                <c:pt idx="0">
                  <c:v>#N/A</c:v>
                </c:pt>
                <c:pt idx="1">
                  <c:v>#N/A</c:v>
                </c:pt>
                <c:pt idx="2">
                  <c:v>#N/A</c:v>
                </c:pt>
                <c:pt idx="3">
                  <c:v>#N/A</c:v>
                </c:pt>
                <c:pt idx="4">
                  <c:v>3.2199999999999998</c:v>
                </c:pt>
                <c:pt idx="5">
                  <c:v>3.1399999999999997</c:v>
                </c:pt>
                <c:pt idx="6">
                  <c:v>3.12</c:v>
                </c:pt>
                <c:pt idx="7">
                  <c:v>3.22</c:v>
                </c:pt>
                <c:pt idx="8">
                  <c:v>3.2600000000000002</c:v>
                </c:pt>
                <c:pt idx="9">
                  <c:v>3.3199999999999994</c:v>
                </c:pt>
                <c:pt idx="10">
                  <c:v>3.3600000000000003</c:v>
                </c:pt>
                <c:pt idx="11">
                  <c:v>3.38</c:v>
                </c:pt>
                <c:pt idx="12">
                  <c:v>3.3800000000000003</c:v>
                </c:pt>
                <c:pt idx="13">
                  <c:v>3.4</c:v>
                </c:pt>
                <c:pt idx="14">
                  <c:v>3.54</c:v>
                </c:pt>
                <c:pt idx="15">
                  <c:v>3.6800000000000006</c:v>
                </c:pt>
                <c:pt idx="16">
                  <c:v>3.66</c:v>
                </c:pt>
                <c:pt idx="17">
                  <c:v>3.56</c:v>
                </c:pt>
                <c:pt idx="18">
                  <c:v>3.38</c:v>
                </c:pt>
                <c:pt idx="19">
                  <c:v>3.2399999999999998</c:v>
                </c:pt>
                <c:pt idx="20">
                  <c:v>3.2</c:v>
                </c:pt>
                <c:pt idx="21">
                  <c:v>3.28</c:v>
                </c:pt>
                <c:pt idx="22">
                  <c:v>3.4200000000000004</c:v>
                </c:pt>
                <c:pt idx="23">
                  <c:v>3.6399999999999997</c:v>
                </c:pt>
                <c:pt idx="24">
                  <c:v>3.72</c:v>
                </c:pt>
                <c:pt idx="25">
                  <c:v>3.6799999999999997</c:v>
                </c:pt>
                <c:pt idx="26">
                  <c:v>3.54</c:v>
                </c:pt>
                <c:pt idx="27">
                  <c:v>3.3599999999999994</c:v>
                </c:pt>
                <c:pt idx="28">
                  <c:v>3.2</c:v>
                </c:pt>
                <c:pt idx="29">
                  <c:v>3.1599999999999997</c:v>
                </c:pt>
              </c:numCache>
            </c:numRef>
          </c:val>
          <c:smooth val="0"/>
          <c:extLst>
            <c:ext xmlns:c16="http://schemas.microsoft.com/office/drawing/2014/chart" uri="{C3380CC4-5D6E-409C-BE32-E72D297353CC}">
              <c16:uniqueId val="{00000005-0574-4634-A0FB-8A332E59653A}"/>
            </c:ext>
          </c:extLst>
        </c:ser>
        <c:ser>
          <c:idx val="6"/>
          <c:order val="6"/>
          <c:tx>
            <c:strRef>
              <c:f>'Daily Website Traffic Analysis'!$H$1</c:f>
              <c:strCache>
                <c:ptCount val="1"/>
                <c:pt idx="0">
                  <c:v>Interval 7</c:v>
                </c:pt>
              </c:strCache>
            </c:strRef>
          </c:tx>
          <c:spPr>
            <a:ln w="28575" cap="rnd">
              <a:solidFill>
                <a:schemeClr val="accent1">
                  <a:lumMod val="60000"/>
                </a:schemeClr>
              </a:solidFill>
              <a:round/>
            </a:ln>
            <a:effectLst/>
          </c:spPr>
          <c:marker>
            <c:symbol val="none"/>
          </c:marker>
          <c:cat>
            <c:numRef>
              <c:f>'Daily Website Traffic Analysis'!$A$2:$A$31</c:f>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f>'Daily Website Traffic Analysis'!$H$2:$H$31</c:f>
              <c:numCache>
                <c:formatCode>General</c:formatCode>
                <c:ptCount val="30"/>
                <c:pt idx="0">
                  <c:v>#N/A</c:v>
                </c:pt>
                <c:pt idx="1">
                  <c:v>#N/A</c:v>
                </c:pt>
                <c:pt idx="2">
                  <c:v>#N/A</c:v>
                </c:pt>
                <c:pt idx="3">
                  <c:v>#N/A</c:v>
                </c:pt>
                <c:pt idx="4">
                  <c:v>#N/A</c:v>
                </c:pt>
                <c:pt idx="5">
                  <c:v>#N/A</c:v>
                </c:pt>
                <c:pt idx="6">
                  <c:v>3.1714285714285713</c:v>
                </c:pt>
                <c:pt idx="7">
                  <c:v>3.2285714285714286</c:v>
                </c:pt>
                <c:pt idx="8">
                  <c:v>3.2714285714285718</c:v>
                </c:pt>
                <c:pt idx="9">
                  <c:v>3.2857142857142856</c:v>
                </c:pt>
                <c:pt idx="10">
                  <c:v>3.2142857142857144</c:v>
                </c:pt>
                <c:pt idx="11">
                  <c:v>3.2857142857142851</c:v>
                </c:pt>
                <c:pt idx="12">
                  <c:v>3.4</c:v>
                </c:pt>
                <c:pt idx="13">
                  <c:v>3.4714285714285715</c:v>
                </c:pt>
                <c:pt idx="14">
                  <c:v>3.5142857142857147</c:v>
                </c:pt>
                <c:pt idx="15">
                  <c:v>3.5142857142857138</c:v>
                </c:pt>
                <c:pt idx="16">
                  <c:v>3.5285714285714285</c:v>
                </c:pt>
                <c:pt idx="17">
                  <c:v>3.5428571428571436</c:v>
                </c:pt>
                <c:pt idx="18">
                  <c:v>3.4714285714285715</c:v>
                </c:pt>
                <c:pt idx="19">
                  <c:v>3.4142857142857141</c:v>
                </c:pt>
                <c:pt idx="20">
                  <c:v>3.371428571428571</c:v>
                </c:pt>
                <c:pt idx="21">
                  <c:v>3.3428571428571425</c:v>
                </c:pt>
                <c:pt idx="22">
                  <c:v>3.3571428571428572</c:v>
                </c:pt>
                <c:pt idx="23">
                  <c:v>3.4571428571428569</c:v>
                </c:pt>
                <c:pt idx="24">
                  <c:v>3.5285714285714289</c:v>
                </c:pt>
                <c:pt idx="25">
                  <c:v>3.5857142857142859</c:v>
                </c:pt>
                <c:pt idx="26">
                  <c:v>3.5571428571428574</c:v>
                </c:pt>
                <c:pt idx="27">
                  <c:v>3.4714285714285711</c:v>
                </c:pt>
                <c:pt idx="28">
                  <c:v>3.3999999999999995</c:v>
                </c:pt>
                <c:pt idx="29">
                  <c:v>3.3428571428571421</c:v>
                </c:pt>
              </c:numCache>
            </c:numRef>
          </c:val>
          <c:smooth val="0"/>
          <c:extLst>
            <c:ext xmlns:c16="http://schemas.microsoft.com/office/drawing/2014/chart" uri="{C3380CC4-5D6E-409C-BE32-E72D297353CC}">
              <c16:uniqueId val="{00000006-0574-4634-A0FB-8A332E59653A}"/>
            </c:ext>
          </c:extLst>
        </c:ser>
        <c:dLbls>
          <c:showLegendKey val="0"/>
          <c:showVal val="0"/>
          <c:showCatName val="0"/>
          <c:showSerName val="0"/>
          <c:showPercent val="0"/>
          <c:showBubbleSize val="0"/>
        </c:dLbls>
        <c:smooth val="0"/>
        <c:axId val="1042989023"/>
        <c:axId val="1043001023"/>
        <c:extLst>
          <c:ext xmlns:c15="http://schemas.microsoft.com/office/drawing/2012/chart" uri="{02D57815-91ED-43cb-92C2-25804820EDAC}">
            <c15:filteredLineSeries>
              <c15:ser>
                <c:idx val="0"/>
                <c:order val="0"/>
                <c:tx>
                  <c:strRef>
                    <c:extLst>
                      <c:ext uri="{02D57815-91ED-43cb-92C2-25804820EDAC}">
                        <c15:formulaRef>
                          <c15:sqref>'Daily Website Traffic Analysis'!$B$1</c15:sqref>
                        </c15:formulaRef>
                      </c:ext>
                    </c:extLst>
                    <c:strCache>
                      <c:ptCount val="1"/>
                      <c:pt idx="0">
                        <c:v>Total Visits</c:v>
                      </c:pt>
                    </c:strCache>
                  </c:strRef>
                </c:tx>
                <c:spPr>
                  <a:ln w="28575" cap="rnd">
                    <a:solidFill>
                      <a:schemeClr val="accent1"/>
                    </a:solidFill>
                    <a:round/>
                  </a:ln>
                  <a:effectLst/>
                </c:spPr>
                <c:marker>
                  <c:symbol val="none"/>
                </c:marker>
                <c:cat>
                  <c:numRef>
                    <c:extLst>
                      <c:ext uri="{02D57815-91ED-43cb-92C2-25804820EDAC}">
                        <c15:formulaRef>
                          <c15:sqref>'Daily Website Traffic Analysis'!$A$2:$A$31</c15:sqref>
                        </c15:formulaRef>
                      </c:ext>
                    </c:extLst>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extLst>
                      <c:ext uri="{02D57815-91ED-43cb-92C2-25804820EDAC}">
                        <c15:formulaRef>
                          <c15:sqref>'Daily Website Traffic Analysis'!$B$2:$B$31</c15:sqref>
                        </c15:formulaRef>
                      </c:ext>
                    </c:extLst>
                    <c:numCache>
                      <c:formatCode>#,##0</c:formatCode>
                      <c:ptCount val="30"/>
                      <c:pt idx="0">
                        <c:v>1250</c:v>
                      </c:pt>
                      <c:pt idx="1">
                        <c:v>1180</c:v>
                      </c:pt>
                      <c:pt idx="2">
                        <c:v>1320</c:v>
                      </c:pt>
                      <c:pt idx="3">
                        <c:v>1400</c:v>
                      </c:pt>
                      <c:pt idx="4">
                        <c:v>1100</c:v>
                      </c:pt>
                      <c:pt idx="5">
                        <c:v>1050</c:v>
                      </c:pt>
                      <c:pt idx="6">
                        <c:v>1300</c:v>
                      </c:pt>
                      <c:pt idx="7">
                        <c:v>1480</c:v>
                      </c:pt>
                      <c:pt idx="8">
                        <c:v>1520</c:v>
                      </c:pt>
                      <c:pt idx="9">
                        <c:v>1250</c:v>
                      </c:pt>
                      <c:pt idx="10">
                        <c:v>1180</c:v>
                      </c:pt>
                      <c:pt idx="11">
                        <c:v>1300</c:v>
                      </c:pt>
                      <c:pt idx="12">
                        <c:v>1420</c:v>
                      </c:pt>
                      <c:pt idx="13">
                        <c:v>1550</c:v>
                      </c:pt>
                      <c:pt idx="14">
                        <c:v>1600</c:v>
                      </c:pt>
                      <c:pt idx="15">
                        <c:v>1450</c:v>
                      </c:pt>
                      <c:pt idx="16">
                        <c:v>1300</c:v>
                      </c:pt>
                      <c:pt idx="17">
                        <c:v>1200</c:v>
                      </c:pt>
                      <c:pt idx="18">
                        <c:v>1100</c:v>
                      </c:pt>
                      <c:pt idx="19">
                        <c:v>1250</c:v>
                      </c:pt>
                      <c:pt idx="20">
                        <c:v>1380</c:v>
                      </c:pt>
                      <c:pt idx="21">
                        <c:v>1470</c:v>
                      </c:pt>
                      <c:pt idx="22">
                        <c:v>1520</c:v>
                      </c:pt>
                      <c:pt idx="23">
                        <c:v>1600</c:v>
                      </c:pt>
                      <c:pt idx="24">
                        <c:v>1480</c:v>
                      </c:pt>
                      <c:pt idx="25">
                        <c:v>1300</c:v>
                      </c:pt>
                      <c:pt idx="26">
                        <c:v>1200</c:v>
                      </c:pt>
                      <c:pt idx="27">
                        <c:v>1150</c:v>
                      </c:pt>
                      <c:pt idx="28">
                        <c:v>1280</c:v>
                      </c:pt>
                      <c:pt idx="29">
                        <c:v>1350</c:v>
                      </c:pt>
                    </c:numCache>
                  </c:numRef>
                </c:val>
                <c:smooth val="0"/>
                <c:extLst>
                  <c:ext xmlns:c16="http://schemas.microsoft.com/office/drawing/2014/chart" uri="{C3380CC4-5D6E-409C-BE32-E72D297353CC}">
                    <c16:uniqueId val="{00000000-0574-4634-A0FB-8A332E59653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'Daily Website Traffic Analysis'!$C$1</c15:sqref>
                        </c15:formulaRef>
                      </c:ext>
                    </c:extLst>
                    <c:strCache>
                      <c:ptCount val="1"/>
                      <c:pt idx="0">
                        <c:v>Unique Visitors</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'Daily Website Traffic Analysis'!$A$2:$A$31</c15:sqref>
                        </c15:formulaRef>
                      </c:ext>
                    </c:extLst>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extLst xmlns:c15="http://schemas.microsoft.com/office/drawing/2012/chart">
                      <c:ext xmlns:c15="http://schemas.microsoft.com/office/drawing/2012/chart" uri="{02D57815-91ED-43cb-92C2-25804820EDAC}">
                        <c15:formulaRef>
                          <c15:sqref>'Daily Website Traffic Analysis'!$C$2:$C$31</c15:sqref>
                        </c15:formulaRef>
                      </c:ext>
                    </c:extLst>
                    <c:numCache>
                      <c:formatCode>General</c:formatCode>
                      <c:ptCount val="30"/>
                      <c:pt idx="0">
                        <c:v>980</c:v>
                      </c:pt>
                      <c:pt idx="1">
                        <c:v>910</c:v>
                      </c:pt>
                      <c:pt idx="2" formatCode="#,##0">
                        <c:v>1020</c:v>
                      </c:pt>
                      <c:pt idx="3" formatCode="#,##0">
                        <c:v>1050</c:v>
                      </c:pt>
                      <c:pt idx="4">
                        <c:v>870</c:v>
                      </c:pt>
                      <c:pt idx="5">
                        <c:v>820</c:v>
                      </c:pt>
                      <c:pt idx="6">
                        <c:v>990</c:v>
                      </c:pt>
                      <c:pt idx="7" formatCode="#,##0">
                        <c:v>1120</c:v>
                      </c:pt>
                      <c:pt idx="8" formatCode="#,##0">
                        <c:v>1150</c:v>
                      </c:pt>
                      <c:pt idx="9">
                        <c:v>970</c:v>
                      </c:pt>
                      <c:pt idx="10">
                        <c:v>900</c:v>
                      </c:pt>
                      <c:pt idx="11">
                        <c:v>980</c:v>
                      </c:pt>
                      <c:pt idx="12" formatCode="#,##0">
                        <c:v>1100</c:v>
                      </c:pt>
                      <c:pt idx="13" formatCode="#,##0">
                        <c:v>1180</c:v>
                      </c:pt>
                      <c:pt idx="14" formatCode="#,##0">
                        <c:v>1200</c:v>
                      </c:pt>
                      <c:pt idx="15" formatCode="#,##0">
                        <c:v>1100</c:v>
                      </c:pt>
                      <c:pt idx="16">
                        <c:v>980</c:v>
                      </c:pt>
                      <c:pt idx="17">
                        <c:v>900</c:v>
                      </c:pt>
                      <c:pt idx="18">
                        <c:v>850</c:v>
                      </c:pt>
                      <c:pt idx="19">
                        <c:v>970</c:v>
                      </c:pt>
                      <c:pt idx="20" formatCode="#,##0">
                        <c:v>1050</c:v>
                      </c:pt>
                      <c:pt idx="21" formatCode="#,##0">
                        <c:v>1120</c:v>
                      </c:pt>
                      <c:pt idx="22" formatCode="#,##0">
                        <c:v>1160</c:v>
                      </c:pt>
                      <c:pt idx="23" formatCode="#,##0">
                        <c:v>1200</c:v>
                      </c:pt>
                      <c:pt idx="24" formatCode="#,##0">
                        <c:v>1100</c:v>
                      </c:pt>
                      <c:pt idx="25">
                        <c:v>980</c:v>
                      </c:pt>
                      <c:pt idx="26">
                        <c:v>890</c:v>
                      </c:pt>
                      <c:pt idx="27">
                        <c:v>860</c:v>
                      </c:pt>
                      <c:pt idx="28">
                        <c:v>950</c:v>
                      </c:pt>
                      <c:pt idx="29" formatCode="#,##0">
                        <c:v>1000</c:v>
                      </c:pt>
                    </c:numCache>
                  </c:numRef>
                </c:val>
                <c:smooth val="0"/>
                <c:extLst xmlns:c15="http://schemas.microsoft.com/office/drawing/2012/chart">
                  <c:ext xmlns:c16="http://schemas.microsoft.com/office/drawing/2014/chart" uri="{C3380CC4-5D6E-409C-BE32-E72D297353CC}">
                    <c16:uniqueId val="{00000001-0574-4634-A0FB-8A332E59653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'Daily Website Traffic Analysis'!$D$1</c15:sqref>
                        </c15:formulaRef>
                      </c:ext>
                    </c:extLst>
                    <c:strCache>
                      <c:ptCount val="1"/>
                      <c:pt idx="0">
                        <c:v>Bounce Rate (%)</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'Daily Website Traffic Analysis'!$A$2:$A$31</c15:sqref>
                        </c15:formulaRef>
                      </c:ext>
                    </c:extLst>
                    <c:numCache>
                      <c:formatCode>mmm\-yy</c:formatCode>
                      <c:ptCount val="30"/>
                      <c:pt idx="0">
                        <c:v>37165</c:v>
                      </c:pt>
                      <c:pt idx="1">
                        <c:v>37530</c:v>
                      </c:pt>
                      <c:pt idx="2">
                        <c:v>37895</c:v>
                      </c:pt>
                      <c:pt idx="3">
                        <c:v>38261</c:v>
                      </c:pt>
                      <c:pt idx="4">
                        <c:v>38626</c:v>
                      </c:pt>
                      <c:pt idx="5">
                        <c:v>38991</c:v>
                      </c:pt>
                      <c:pt idx="6">
                        <c:v>39356</c:v>
                      </c:pt>
                      <c:pt idx="7">
                        <c:v>39722</c:v>
                      </c:pt>
                      <c:pt idx="8">
                        <c:v>40087</c:v>
                      </c:pt>
                      <c:pt idx="9">
                        <c:v>40452</c:v>
                      </c:pt>
                      <c:pt idx="10">
                        <c:v>40817</c:v>
                      </c:pt>
                      <c:pt idx="11">
                        <c:v>41183</c:v>
                      </c:pt>
                      <c:pt idx="12">
                        <c:v>41548</c:v>
                      </c:pt>
                      <c:pt idx="13">
                        <c:v>41913</c:v>
                      </c:pt>
                      <c:pt idx="14">
                        <c:v>42278</c:v>
                      </c:pt>
                      <c:pt idx="15">
                        <c:v>42644</c:v>
                      </c:pt>
                      <c:pt idx="16">
                        <c:v>43009</c:v>
                      </c:pt>
                      <c:pt idx="17">
                        <c:v>43374</c:v>
                      </c:pt>
                      <c:pt idx="18">
                        <c:v>43739</c:v>
                      </c:pt>
                      <c:pt idx="19">
                        <c:v>44105</c:v>
                      </c:pt>
                      <c:pt idx="20">
                        <c:v>44470</c:v>
                      </c:pt>
                      <c:pt idx="21">
                        <c:v>44835</c:v>
                      </c:pt>
                      <c:pt idx="22">
                        <c:v>45200</c:v>
                      </c:pt>
                      <c:pt idx="23">
                        <c:v>45566</c:v>
                      </c:pt>
                      <c:pt idx="24">
                        <c:v>45931</c:v>
                      </c:pt>
                      <c:pt idx="25">
                        <c:v>46296</c:v>
                      </c:pt>
                      <c:pt idx="26">
                        <c:v>46661</c:v>
                      </c:pt>
                      <c:pt idx="27">
                        <c:v>47027</c:v>
                      </c:pt>
                      <c:pt idx="28">
                        <c:v>47392</c:v>
                      </c:pt>
                      <c:pt idx="29">
                        <c:v>11232</c:v>
                      </c:pt>
                    </c:numCache>
                  </c:numRef>
                </c:cat>
                <c:val>
                  <c:numRef>
                    <c:extLst xmlns:c15="http://schemas.microsoft.com/office/drawing/2012/chart">
                      <c:ext xmlns:c15="http://schemas.microsoft.com/office/drawing/2012/chart" uri="{02D57815-91ED-43cb-92C2-25804820EDAC}">
                        <c15:formulaRef>
                          <c15:sqref>'Daily Website Traffic Analysis'!$D$2:$D$31</c15:sqref>
                        </c15:formulaRef>
                      </c:ext>
                    </c:extLst>
                    <c:numCache>
                      <c:formatCode>General</c:formatCode>
                      <c:ptCount val="30"/>
                      <c:pt idx="0">
                        <c:v>42.5</c:v>
                      </c:pt>
                      <c:pt idx="1">
                        <c:v>40.799999999999997</c:v>
                      </c:pt>
                      <c:pt idx="2">
                        <c:v>41.2</c:v>
                      </c:pt>
                      <c:pt idx="3">
                        <c:v>39.9</c:v>
                      </c:pt>
                      <c:pt idx="4">
                        <c:v>43.7</c:v>
                      </c:pt>
                      <c:pt idx="5">
                        <c:v>45.1</c:v>
                      </c:pt>
                      <c:pt idx="6">
                        <c:v>40.299999999999997</c:v>
                      </c:pt>
                      <c:pt idx="7">
                        <c:v>38.700000000000003</c:v>
                      </c:pt>
                      <c:pt idx="8">
                        <c:v>37.9</c:v>
                      </c:pt>
                      <c:pt idx="9">
                        <c:v>41.5</c:v>
                      </c:pt>
                      <c:pt idx="10">
                        <c:v>42</c:v>
                      </c:pt>
                      <c:pt idx="11">
                        <c:v>40.200000000000003</c:v>
                      </c:pt>
                      <c:pt idx="12">
                        <c:v>39.1</c:v>
                      </c:pt>
                      <c:pt idx="13">
                        <c:v>37.5</c:v>
                      </c:pt>
                      <c:pt idx="14">
                        <c:v>36.9</c:v>
                      </c:pt>
                      <c:pt idx="15">
                        <c:v>38.200000000000003</c:v>
                      </c:pt>
                      <c:pt idx="16">
                        <c:v>40.4</c:v>
                      </c:pt>
                      <c:pt idx="17">
                        <c:v>42.1</c:v>
                      </c:pt>
                      <c:pt idx="18">
                        <c:v>43.8</c:v>
                      </c:pt>
                      <c:pt idx="19">
                        <c:v>41.6</c:v>
                      </c:pt>
                      <c:pt idx="20">
                        <c:v>39.5</c:v>
                      </c:pt>
                      <c:pt idx="21">
                        <c:v>38</c:v>
                      </c:pt>
                      <c:pt idx="22">
                        <c:v>37.200000000000003</c:v>
                      </c:pt>
                      <c:pt idx="23">
                        <c:v>36.5</c:v>
                      </c:pt>
                      <c:pt idx="24">
                        <c:v>38.299999999999997</c:v>
                      </c:pt>
                      <c:pt idx="25">
                        <c:v>40.1</c:v>
                      </c:pt>
                      <c:pt idx="26">
                        <c:v>42.4</c:v>
                      </c:pt>
                      <c:pt idx="27">
                        <c:v>43.2</c:v>
                      </c:pt>
                      <c:pt idx="28">
                        <c:v>41</c:v>
                      </c:pt>
                      <c:pt idx="29">
                        <c:v>39.799999999999997</c:v>
                      </c:pt>
                    </c:numCache>
                  </c:numRef>
                </c:val>
                <c:smooth val="0"/>
                <c:extLst xmlns:c15="http://schemas.microsoft.com/office/drawing/2012/chart">
                  <c:ext xmlns:c16="http://schemas.microsoft.com/office/drawing/2014/chart" uri="{C3380CC4-5D6E-409C-BE32-E72D297353CC}">
                    <c16:uniqueId val="{00000002-0574-4634-A0FB-8A332E59653A}"/>
                  </c:ext>
                </c:extLst>
              </c15:ser>
            </c15:filteredLineSeries>
          </c:ext>
        </c:extLst>
      </c:lineChart>
      <c:dateAx>
        <c:axId val="10429890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01023"/>
        <c:crosses val="autoZero"/>
        <c:auto val="1"/>
        <c:lblOffset val="100"/>
        <c:baseTimeUnit val="years"/>
      </c:dateAx>
      <c:valAx>
        <c:axId val="104300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89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88900</xdr:colOff>
      <xdr:row>0</xdr:row>
      <xdr:rowOff>6350</xdr:rowOff>
    </xdr:from>
    <xdr:to>
      <xdr:col>5</xdr:col>
      <xdr:colOff>1016000</xdr:colOff>
      <xdr:row>10</xdr:row>
      <xdr:rowOff>0</xdr:rowOff>
    </xdr:to>
    <xdr:graphicFrame macro="">
      <xdr:nvGraphicFramePr>
        <xdr:cNvPr id="3" name="Chart 2">
          <a:extLst>
            <a:ext uri="{FF2B5EF4-FFF2-40B4-BE49-F238E27FC236}">
              <a16:creationId xmlns:a16="http://schemas.microsoft.com/office/drawing/2014/main" id="{3C2BE7A1-70E2-3BBE-7813-0CB2F83A4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406399</xdr:colOff>
      <xdr:row>0</xdr:row>
      <xdr:rowOff>19050</xdr:rowOff>
    </xdr:from>
    <xdr:to>
      <xdr:col>12</xdr:col>
      <xdr:colOff>669924</xdr:colOff>
      <xdr:row>15</xdr:row>
      <xdr:rowOff>0</xdr:rowOff>
    </xdr:to>
    <xdr:graphicFrame macro="">
      <xdr:nvGraphicFramePr>
        <xdr:cNvPr id="2" name="Chart 1">
          <a:extLst>
            <a:ext uri="{FF2B5EF4-FFF2-40B4-BE49-F238E27FC236}">
              <a16:creationId xmlns:a16="http://schemas.microsoft.com/office/drawing/2014/main" id="{72870FBC-84E1-85F6-FB8B-B3EE6EF35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36308-5B42-417B-93FB-E0132106E12A}" autoFormatId="16" applyNumberFormats="0" applyBorderFormats="0" applyFontFormats="0" applyPatternFormats="0" applyAlignmentFormats="0" applyWidthHeightFormats="0">
  <queryTableRefresh nextId="6">
    <queryTableFields count="5">
      <queryTableField id="1" name="Month    " tableColumnId="1"/>
      <queryTableField id="2" name=" Advertising " tableColumnId="2"/>
      <queryTableField id="3" name=" Sales Revenue " tableColumnId="3"/>
      <queryTableField id="4" name=" Temperature " tableColumnId="4"/>
      <queryTableField id="5" name=" Competitors "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6CE79E-2D2F-49E6-9937-DBACF3913167}" name="new_2" displayName="new_2" ref="A1:E13" tableType="queryTable" totalsRowShown="0">
  <autoFilter ref="A1:E13" xr:uid="{846CE79E-2D2F-49E6-9937-DBACF3913167}"/>
  <tableColumns count="5">
    <tableColumn id="1" xr3:uid="{4CD549D9-0B82-4868-A00E-5E265E3EC5CA}" uniqueName="1" name="Month    " queryTableFieldId="1" dataDxfId="0"/>
    <tableColumn id="2" xr3:uid="{22D99581-1F4E-4A93-AA35-01F17EBC429B}" uniqueName="2" name=" Advertising " queryTableFieldId="2"/>
    <tableColumn id="3" xr3:uid="{D9EBFF62-64E4-4958-A91D-CF09B16AD7B3}" uniqueName="3" name=" Sales Revenue " queryTableFieldId="3"/>
    <tableColumn id="4" xr3:uid="{E507ABC4-4FAE-4002-9799-C4F2048A9581}" uniqueName="4" name=" Temperature " queryTableFieldId="4"/>
    <tableColumn id="5" xr3:uid="{EDAFEB4B-9D4E-41AA-9946-6D91E98AF6D2}" uniqueName="5" name=" Competitors "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24FF-197D-450F-817D-4CEFB3549C31}">
  <dimension ref="A1:L24"/>
  <sheetViews>
    <sheetView zoomScale="90" zoomScaleNormal="90" workbookViewId="0">
      <selection activeCell="B23" sqref="B23:E23"/>
    </sheetView>
  </sheetViews>
  <sheetFormatPr defaultRowHeight="14.5" x14ac:dyDescent="0.35"/>
  <cols>
    <col min="1" max="1" width="10.6328125" bestFit="1" customWidth="1"/>
    <col min="2" max="2" width="13.36328125" bestFit="1" customWidth="1"/>
    <col min="3" max="3" width="15.90625" bestFit="1" customWidth="1"/>
    <col min="4" max="4" width="15" bestFit="1" customWidth="1"/>
    <col min="5" max="5" width="14.453125" bestFit="1" customWidth="1"/>
    <col min="8" max="8" width="14" bestFit="1" customWidth="1"/>
    <col min="9" max="9" width="12.6328125" bestFit="1" customWidth="1"/>
    <col min="10" max="10" width="14" bestFit="1" customWidth="1"/>
    <col min="11" max="11" width="12.90625" bestFit="1" customWidth="1"/>
    <col min="12" max="12" width="12.453125" bestFit="1" customWidth="1"/>
  </cols>
  <sheetData>
    <row r="1" spans="1:12" x14ac:dyDescent="0.35">
      <c r="A1" t="s">
        <v>128</v>
      </c>
      <c r="B1" t="s">
        <v>129</v>
      </c>
      <c r="C1" t="s">
        <v>130</v>
      </c>
      <c r="D1" t="s">
        <v>131</v>
      </c>
      <c r="E1" t="s">
        <v>132</v>
      </c>
    </row>
    <row r="2" spans="1:12" x14ac:dyDescent="0.35">
      <c r="A2" t="s">
        <v>133</v>
      </c>
      <c r="B2">
        <v>5000</v>
      </c>
      <c r="C2">
        <v>45000</v>
      </c>
      <c r="D2">
        <v>32</v>
      </c>
      <c r="E2">
        <v>3</v>
      </c>
    </row>
    <row r="3" spans="1:12" x14ac:dyDescent="0.35">
      <c r="A3" t="s">
        <v>134</v>
      </c>
      <c r="B3">
        <v>6000</v>
      </c>
      <c r="C3">
        <v>52000</v>
      </c>
      <c r="D3">
        <v>35</v>
      </c>
      <c r="E3">
        <v>3</v>
      </c>
    </row>
    <row r="4" spans="1:12" ht="15" thickBot="1" x14ac:dyDescent="0.4">
      <c r="A4" t="s">
        <v>135</v>
      </c>
      <c r="B4">
        <v>7000</v>
      </c>
      <c r="C4">
        <v>58000</v>
      </c>
      <c r="D4">
        <v>48</v>
      </c>
      <c r="E4">
        <v>4</v>
      </c>
    </row>
    <row r="5" spans="1:12" x14ac:dyDescent="0.35">
      <c r="A5" t="s">
        <v>136</v>
      </c>
      <c r="B5">
        <v>8000</v>
      </c>
      <c r="C5">
        <v>65000</v>
      </c>
      <c r="D5">
        <v>62</v>
      </c>
      <c r="E5">
        <v>4</v>
      </c>
      <c r="H5" s="35"/>
      <c r="I5" s="42" t="s">
        <v>129</v>
      </c>
      <c r="J5" s="42" t="s">
        <v>130</v>
      </c>
      <c r="K5" s="42" t="s">
        <v>131</v>
      </c>
      <c r="L5" s="43" t="s">
        <v>132</v>
      </c>
    </row>
    <row r="6" spans="1:12" x14ac:dyDescent="0.35">
      <c r="A6" t="s">
        <v>137</v>
      </c>
      <c r="B6">
        <v>9000</v>
      </c>
      <c r="C6">
        <v>72000</v>
      </c>
      <c r="D6">
        <v>75</v>
      </c>
      <c r="E6">
        <v>5</v>
      </c>
      <c r="H6" s="42" t="s">
        <v>129</v>
      </c>
      <c r="I6">
        <v>1</v>
      </c>
    </row>
    <row r="7" spans="1:12" x14ac:dyDescent="0.35">
      <c r="A7" t="s">
        <v>138</v>
      </c>
      <c r="B7">
        <v>7000</v>
      </c>
      <c r="C7">
        <v>80000</v>
      </c>
      <c r="D7">
        <v>54</v>
      </c>
      <c r="E7">
        <v>3</v>
      </c>
      <c r="H7" s="42" t="s">
        <v>130</v>
      </c>
      <c r="I7">
        <v>0.39561136261704277</v>
      </c>
      <c r="J7">
        <v>1</v>
      </c>
    </row>
    <row r="8" spans="1:12" x14ac:dyDescent="0.35">
      <c r="A8" t="s">
        <v>139</v>
      </c>
      <c r="B8">
        <v>8000</v>
      </c>
      <c r="C8">
        <v>55000</v>
      </c>
      <c r="D8">
        <v>32</v>
      </c>
      <c r="E8">
        <v>2</v>
      </c>
      <c r="H8" s="42" t="s">
        <v>131</v>
      </c>
      <c r="I8">
        <v>0.62167791234389369</v>
      </c>
      <c r="J8">
        <v>0.40089229673499338</v>
      </c>
      <c r="K8">
        <v>1</v>
      </c>
    </row>
    <row r="9" spans="1:12" ht="15" thickBot="1" x14ac:dyDescent="0.4">
      <c r="A9" t="s">
        <v>140</v>
      </c>
      <c r="B9">
        <v>5000</v>
      </c>
      <c r="C9">
        <v>77000</v>
      </c>
      <c r="D9">
        <v>36</v>
      </c>
      <c r="E9">
        <v>6</v>
      </c>
      <c r="H9" s="43" t="s">
        <v>132</v>
      </c>
      <c r="I9" s="11">
        <v>-0.10398003774894438</v>
      </c>
      <c r="J9" s="11">
        <v>0.1516658621040462</v>
      </c>
      <c r="K9" s="11">
        <v>0.2539443586054797</v>
      </c>
      <c r="L9" s="11">
        <v>1</v>
      </c>
    </row>
    <row r="10" spans="1:12" x14ac:dyDescent="0.35">
      <c r="A10" t="s">
        <v>141</v>
      </c>
      <c r="B10">
        <v>7000</v>
      </c>
      <c r="C10">
        <v>65000</v>
      </c>
      <c r="D10">
        <v>39</v>
      </c>
      <c r="E10">
        <v>4</v>
      </c>
    </row>
    <row r="11" spans="1:12" x14ac:dyDescent="0.35">
      <c r="A11" t="s">
        <v>142</v>
      </c>
      <c r="B11">
        <v>6000</v>
      </c>
      <c r="C11">
        <v>43000</v>
      </c>
      <c r="D11">
        <v>31</v>
      </c>
      <c r="E11">
        <v>3</v>
      </c>
    </row>
    <row r="12" spans="1:12" x14ac:dyDescent="0.35">
      <c r="A12" t="s">
        <v>143</v>
      </c>
      <c r="B12">
        <v>8000</v>
      </c>
      <c r="C12">
        <v>84000</v>
      </c>
      <c r="D12">
        <v>34</v>
      </c>
      <c r="E12">
        <v>2</v>
      </c>
    </row>
    <row r="13" spans="1:12" x14ac:dyDescent="0.35">
      <c r="A13" t="s">
        <v>144</v>
      </c>
      <c r="B13">
        <v>7000</v>
      </c>
      <c r="C13">
        <v>60000</v>
      </c>
      <c r="D13">
        <v>37</v>
      </c>
      <c r="E13">
        <v>7</v>
      </c>
    </row>
    <row r="16" spans="1:12" x14ac:dyDescent="0.35">
      <c r="B16" s="56" t="s">
        <v>145</v>
      </c>
      <c r="C16" s="56"/>
      <c r="D16" s="56"/>
      <c r="E16" s="56"/>
    </row>
    <row r="17" spans="2:5" ht="66.5" customHeight="1" x14ac:dyDescent="0.35">
      <c r="B17" s="57" t="s">
        <v>148</v>
      </c>
      <c r="C17" s="57"/>
      <c r="D17" s="57"/>
      <c r="E17" s="57"/>
    </row>
    <row r="19" spans="2:5" x14ac:dyDescent="0.35">
      <c r="B19" s="44" t="s">
        <v>147</v>
      </c>
    </row>
    <row r="20" spans="2:5" ht="107.5" customHeight="1" x14ac:dyDescent="0.35">
      <c r="B20" s="57" t="s">
        <v>149</v>
      </c>
      <c r="C20" s="57"/>
      <c r="D20" s="57"/>
      <c r="E20" s="57"/>
    </row>
    <row r="22" spans="2:5" x14ac:dyDescent="0.35">
      <c r="B22" s="44" t="s">
        <v>146</v>
      </c>
    </row>
    <row r="23" spans="2:5" ht="47" customHeight="1" x14ac:dyDescent="0.35">
      <c r="B23" s="58" t="s">
        <v>150</v>
      </c>
      <c r="C23" s="58"/>
      <c r="D23" s="58"/>
      <c r="E23" s="58"/>
    </row>
    <row r="24" spans="2:5" x14ac:dyDescent="0.35">
      <c r="B24" s="44"/>
    </row>
  </sheetData>
  <mergeCells count="4">
    <mergeCell ref="B16:E16"/>
    <mergeCell ref="B17:E17"/>
    <mergeCell ref="B20:E20"/>
    <mergeCell ref="B23:E23"/>
  </mergeCells>
  <phoneticPr fontId="9" type="noConversion"/>
  <conditionalFormatting sqref="H5:L9">
    <cfRule type="colorScale" priority="1">
      <colorScale>
        <cfvo type="min"/>
        <cfvo type="percentile" val="50"/>
        <cfvo type="max"/>
        <color rgb="FFF8696B"/>
        <color rgb="FFFFEB84"/>
        <color rgb="FF63BE7B"/>
      </colorScale>
    </cfRule>
    <cfRule type="colorScale" priority="2">
      <colorScale>
        <cfvo type="min"/>
        <cfvo type="max"/>
        <color rgb="FF63BE7B"/>
        <color rgb="FFFCFCFF"/>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6F18-17C7-4D64-819B-5CD7A61C9D65}">
  <dimension ref="A1:E21"/>
  <sheetViews>
    <sheetView workbookViewId="0">
      <selection activeCell="C10" sqref="C10"/>
    </sheetView>
  </sheetViews>
  <sheetFormatPr defaultColWidth="14.7265625" defaultRowHeight="14.5" x14ac:dyDescent="0.35"/>
  <cols>
    <col min="1" max="16384" width="14.7265625" style="1"/>
  </cols>
  <sheetData>
    <row r="1" spans="1:5" ht="29" x14ac:dyDescent="0.35">
      <c r="A1" s="40" t="s">
        <v>90</v>
      </c>
      <c r="B1" s="40" t="s">
        <v>91</v>
      </c>
      <c r="C1" s="40" t="s">
        <v>92</v>
      </c>
      <c r="D1" s="40" t="s">
        <v>93</v>
      </c>
      <c r="E1" s="40" t="s">
        <v>94</v>
      </c>
    </row>
    <row r="2" spans="1:5" x14ac:dyDescent="0.35">
      <c r="A2" s="41">
        <v>1</v>
      </c>
      <c r="B2" s="41">
        <v>1.2</v>
      </c>
      <c r="C2" s="41">
        <v>15</v>
      </c>
      <c r="D2" s="41">
        <v>3</v>
      </c>
      <c r="E2" s="41">
        <v>9</v>
      </c>
    </row>
    <row r="3" spans="1:5" x14ac:dyDescent="0.35">
      <c r="A3" s="41">
        <v>2</v>
      </c>
      <c r="B3" s="41">
        <v>2.5</v>
      </c>
      <c r="C3" s="41">
        <v>22</v>
      </c>
      <c r="D3" s="41">
        <v>2</v>
      </c>
      <c r="E3" s="41">
        <v>8</v>
      </c>
    </row>
    <row r="4" spans="1:5" x14ac:dyDescent="0.35">
      <c r="A4" s="41">
        <v>3</v>
      </c>
      <c r="B4" s="41">
        <v>0.8</v>
      </c>
      <c r="C4" s="41">
        <v>12</v>
      </c>
      <c r="D4" s="41">
        <v>5</v>
      </c>
      <c r="E4" s="41">
        <v>10</v>
      </c>
    </row>
    <row r="5" spans="1:5" x14ac:dyDescent="0.35">
      <c r="A5" s="41">
        <v>4</v>
      </c>
      <c r="B5" s="41">
        <v>3.1</v>
      </c>
      <c r="C5" s="41">
        <v>28</v>
      </c>
      <c r="D5" s="41">
        <v>1</v>
      </c>
      <c r="E5" s="41">
        <v>6</v>
      </c>
    </row>
    <row r="6" spans="1:5" x14ac:dyDescent="0.35">
      <c r="A6" s="41">
        <v>5</v>
      </c>
      <c r="B6" s="41">
        <v>1.7</v>
      </c>
      <c r="C6" s="41">
        <v>18</v>
      </c>
      <c r="D6" s="41">
        <v>4</v>
      </c>
      <c r="E6" s="41">
        <v>9</v>
      </c>
    </row>
    <row r="7" spans="1:5" x14ac:dyDescent="0.35">
      <c r="A7" s="41">
        <v>6</v>
      </c>
      <c r="B7" s="41">
        <v>4</v>
      </c>
      <c r="C7" s="41">
        <v>35</v>
      </c>
      <c r="D7" s="41">
        <v>2</v>
      </c>
      <c r="E7" s="41">
        <v>7</v>
      </c>
    </row>
    <row r="8" spans="1:5" x14ac:dyDescent="0.35">
      <c r="A8" s="41">
        <v>7</v>
      </c>
      <c r="B8" s="41">
        <v>2.2000000000000002</v>
      </c>
      <c r="C8" s="41">
        <v>20</v>
      </c>
      <c r="D8" s="41">
        <v>3</v>
      </c>
      <c r="E8" s="41">
        <v>8</v>
      </c>
    </row>
    <row r="9" spans="1:5" x14ac:dyDescent="0.35">
      <c r="A9" s="41">
        <v>8</v>
      </c>
      <c r="B9" s="41">
        <v>0.5</v>
      </c>
      <c r="C9" s="41">
        <v>10</v>
      </c>
      <c r="D9" s="41">
        <v>6</v>
      </c>
      <c r="E9" s="41">
        <v>10</v>
      </c>
    </row>
    <row r="10" spans="1:5" x14ac:dyDescent="0.35">
      <c r="A10" s="41">
        <v>9</v>
      </c>
      <c r="B10" s="41">
        <v>3.8</v>
      </c>
      <c r="C10" s="41">
        <v>32</v>
      </c>
      <c r="D10" s="41">
        <v>2</v>
      </c>
      <c r="E10" s="41">
        <v>7</v>
      </c>
    </row>
    <row r="11" spans="1:5" x14ac:dyDescent="0.35">
      <c r="A11" s="41">
        <v>10</v>
      </c>
      <c r="B11" s="41">
        <v>1</v>
      </c>
      <c r="C11" s="41">
        <v>14</v>
      </c>
      <c r="D11" s="41">
        <v>4</v>
      </c>
      <c r="E11" s="41">
        <v>9</v>
      </c>
    </row>
    <row r="12" spans="1:5" x14ac:dyDescent="0.35">
      <c r="A12" s="41">
        <v>11</v>
      </c>
      <c r="B12" s="41">
        <v>2.9</v>
      </c>
      <c r="C12" s="41">
        <v>26</v>
      </c>
      <c r="D12" s="41">
        <v>1</v>
      </c>
      <c r="E12" s="41">
        <v>6</v>
      </c>
    </row>
    <row r="13" spans="1:5" x14ac:dyDescent="0.35">
      <c r="A13" s="41">
        <v>12</v>
      </c>
      <c r="B13" s="41">
        <v>1.5</v>
      </c>
      <c r="C13" s="41">
        <v>17</v>
      </c>
      <c r="D13" s="41">
        <v>3</v>
      </c>
      <c r="E13" s="41">
        <v>8</v>
      </c>
    </row>
    <row r="14" spans="1:5" x14ac:dyDescent="0.35">
      <c r="A14" s="41">
        <v>13</v>
      </c>
      <c r="B14" s="41">
        <v>0.9</v>
      </c>
      <c r="C14" s="41">
        <v>13</v>
      </c>
      <c r="D14" s="41">
        <v>5</v>
      </c>
      <c r="E14" s="41">
        <v>10</v>
      </c>
    </row>
    <row r="15" spans="1:5" x14ac:dyDescent="0.35">
      <c r="A15" s="41">
        <v>14</v>
      </c>
      <c r="B15" s="41">
        <v>3.5</v>
      </c>
      <c r="C15" s="41">
        <v>30</v>
      </c>
      <c r="D15" s="41">
        <v>2</v>
      </c>
      <c r="E15" s="41">
        <v>7</v>
      </c>
    </row>
    <row r="16" spans="1:5" x14ac:dyDescent="0.35">
      <c r="A16" s="41">
        <v>15</v>
      </c>
      <c r="B16" s="41">
        <v>2</v>
      </c>
      <c r="C16" s="41">
        <v>19</v>
      </c>
      <c r="D16" s="41">
        <v>4</v>
      </c>
      <c r="E16" s="41">
        <v>9</v>
      </c>
    </row>
    <row r="17" spans="1:5" x14ac:dyDescent="0.35">
      <c r="A17" s="41">
        <v>16</v>
      </c>
      <c r="B17" s="41">
        <v>4.2</v>
      </c>
      <c r="C17" s="41">
        <v>37</v>
      </c>
      <c r="D17" s="41">
        <v>1</v>
      </c>
      <c r="E17" s="41">
        <v>6</v>
      </c>
    </row>
    <row r="18" spans="1:5" x14ac:dyDescent="0.35">
      <c r="A18" s="41">
        <v>17</v>
      </c>
      <c r="B18" s="41">
        <v>1.3</v>
      </c>
      <c r="C18" s="41">
        <v>16</v>
      </c>
      <c r="D18" s="41">
        <v>3</v>
      </c>
      <c r="E18" s="41">
        <v>9</v>
      </c>
    </row>
    <row r="19" spans="1:5" x14ac:dyDescent="0.35">
      <c r="A19" s="41">
        <v>18</v>
      </c>
      <c r="B19" s="41">
        <v>2.7</v>
      </c>
      <c r="C19" s="41">
        <v>24</v>
      </c>
      <c r="D19" s="41">
        <v>2</v>
      </c>
      <c r="E19" s="41">
        <v>8</v>
      </c>
    </row>
    <row r="20" spans="1:5" x14ac:dyDescent="0.35">
      <c r="A20" s="41">
        <v>19</v>
      </c>
      <c r="B20" s="41">
        <v>0.6</v>
      </c>
      <c r="C20" s="41">
        <v>11</v>
      </c>
      <c r="D20" s="41">
        <v>5</v>
      </c>
      <c r="E20" s="41">
        <v>10</v>
      </c>
    </row>
    <row r="21" spans="1:5" x14ac:dyDescent="0.35">
      <c r="A21" s="41">
        <v>20</v>
      </c>
      <c r="B21" s="41">
        <v>3.3</v>
      </c>
      <c r="C21" s="41">
        <v>29</v>
      </c>
      <c r="D21" s="41">
        <v>2</v>
      </c>
      <c r="E21" s="41">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9E98-D7A2-46C1-B5A1-D7799633CF06}">
  <dimension ref="A1:K44"/>
  <sheetViews>
    <sheetView workbookViewId="0">
      <selection activeCell="G7" sqref="G7:K7"/>
    </sheetView>
  </sheetViews>
  <sheetFormatPr defaultRowHeight="14.5" x14ac:dyDescent="0.35"/>
  <cols>
    <col min="1" max="1" width="17.26953125" bestFit="1" customWidth="1"/>
    <col min="2" max="2" width="25.90625" bestFit="1" customWidth="1"/>
    <col min="3" max="3" width="13.54296875" bestFit="1" customWidth="1"/>
    <col min="4" max="4" width="17" bestFit="1" customWidth="1"/>
    <col min="5" max="5" width="11.81640625" bestFit="1" customWidth="1"/>
    <col min="6" max="6" width="19.08984375" bestFit="1" customWidth="1"/>
    <col min="7" max="7" width="17.6328125" bestFit="1" customWidth="1"/>
    <col min="8" max="9" width="12" bestFit="1" customWidth="1"/>
    <col min="11" max="11" width="10.90625" customWidth="1"/>
  </cols>
  <sheetData>
    <row r="1" spans="1:11" x14ac:dyDescent="0.35">
      <c r="A1" t="s">
        <v>95</v>
      </c>
    </row>
    <row r="2" spans="1:11" ht="15" thickBot="1" x14ac:dyDescent="0.4">
      <c r="G2" s="55" t="s">
        <v>124</v>
      </c>
      <c r="H2" s="55"/>
      <c r="I2" s="55"/>
      <c r="J2" s="55"/>
      <c r="K2" s="55"/>
    </row>
    <row r="3" spans="1:11" s="1" customFormat="1" ht="42.5" customHeight="1" x14ac:dyDescent="0.35">
      <c r="A3" s="35" t="s">
        <v>96</v>
      </c>
      <c r="B3" s="35"/>
      <c r="G3" s="59" t="s">
        <v>127</v>
      </c>
      <c r="H3" s="59"/>
      <c r="I3" s="59"/>
      <c r="J3" s="59"/>
      <c r="K3" s="59"/>
    </row>
    <row r="4" spans="1:11" x14ac:dyDescent="0.35">
      <c r="A4" t="s">
        <v>97</v>
      </c>
      <c r="B4">
        <v>0.9947884097551144</v>
      </c>
    </row>
    <row r="5" spans="1:11" x14ac:dyDescent="0.35">
      <c r="A5" t="s">
        <v>98</v>
      </c>
      <c r="B5">
        <v>0.98960398018310947</v>
      </c>
    </row>
    <row r="6" spans="1:11" x14ac:dyDescent="0.35">
      <c r="A6" t="s">
        <v>99</v>
      </c>
      <c r="B6">
        <v>0.98902642352661552</v>
      </c>
      <c r="G6" s="55" t="s">
        <v>125</v>
      </c>
      <c r="H6" s="55"/>
      <c r="I6" s="55"/>
      <c r="J6" s="55"/>
      <c r="K6" s="55"/>
    </row>
    <row r="7" spans="1:11" x14ac:dyDescent="0.35">
      <c r="A7" t="s">
        <v>61</v>
      </c>
      <c r="B7">
        <v>0.86809902971566066</v>
      </c>
      <c r="G7" s="55" t="s">
        <v>126</v>
      </c>
      <c r="H7" s="55"/>
      <c r="I7" s="55"/>
      <c r="J7" s="55"/>
      <c r="K7" s="55"/>
    </row>
    <row r="8" spans="1:11" ht="15" thickBot="1" x14ac:dyDescent="0.4">
      <c r="A8" s="11" t="s">
        <v>100</v>
      </c>
      <c r="B8" s="11">
        <v>20</v>
      </c>
    </row>
    <row r="10" spans="1:11" ht="15" thickBot="1" x14ac:dyDescent="0.4">
      <c r="A10" t="s">
        <v>101</v>
      </c>
    </row>
    <row r="11" spans="1:11" x14ac:dyDescent="0.35">
      <c r="A11" s="35"/>
      <c r="B11" s="35" t="s">
        <v>106</v>
      </c>
      <c r="C11" s="35" t="s">
        <v>107</v>
      </c>
      <c r="D11" s="35" t="s">
        <v>108</v>
      </c>
      <c r="E11" s="35" t="s">
        <v>109</v>
      </c>
      <c r="F11" s="35" t="s">
        <v>110</v>
      </c>
    </row>
    <row r="12" spans="1:11" x14ac:dyDescent="0.35">
      <c r="A12" t="s">
        <v>102</v>
      </c>
      <c r="B12">
        <v>1</v>
      </c>
      <c r="C12">
        <v>1291.2352733429211</v>
      </c>
      <c r="D12">
        <v>1291.2352733429211</v>
      </c>
      <c r="E12">
        <v>1713.4318669107413</v>
      </c>
      <c r="F12">
        <v>2.6431411256447493E-19</v>
      </c>
    </row>
    <row r="13" spans="1:11" x14ac:dyDescent="0.35">
      <c r="A13" t="s">
        <v>103</v>
      </c>
      <c r="B13">
        <v>18</v>
      </c>
      <c r="C13">
        <v>13.564726657078888</v>
      </c>
      <c r="D13">
        <v>0.75359592539327158</v>
      </c>
    </row>
    <row r="14" spans="1:11" ht="15" thickBot="1" x14ac:dyDescent="0.4">
      <c r="A14" s="11" t="s">
        <v>104</v>
      </c>
      <c r="B14" s="11">
        <v>19</v>
      </c>
      <c r="C14" s="11">
        <v>1304.8</v>
      </c>
      <c r="D14" s="11"/>
      <c r="E14" s="11"/>
      <c r="F14" s="11"/>
    </row>
    <row r="15" spans="1:11" ht="15" thickBot="1" x14ac:dyDescent="0.4"/>
    <row r="16" spans="1:11" x14ac:dyDescent="0.35">
      <c r="A16" s="35"/>
      <c r="B16" s="35" t="s">
        <v>111</v>
      </c>
      <c r="C16" s="35" t="s">
        <v>61</v>
      </c>
      <c r="D16" s="35" t="s">
        <v>112</v>
      </c>
      <c r="E16" s="35" t="s">
        <v>113</v>
      </c>
      <c r="F16" s="35" t="s">
        <v>114</v>
      </c>
      <c r="G16" s="35" t="s">
        <v>115</v>
      </c>
      <c r="H16" s="35" t="s">
        <v>116</v>
      </c>
      <c r="I16" s="35" t="s">
        <v>117</v>
      </c>
    </row>
    <row r="17" spans="1:9" x14ac:dyDescent="0.35">
      <c r="A17" t="s">
        <v>105</v>
      </c>
      <c r="B17">
        <v>6.4183248074857602</v>
      </c>
      <c r="C17">
        <v>0.41070007740458581</v>
      </c>
      <c r="D17">
        <v>15.627766247443358</v>
      </c>
      <c r="E17">
        <v>6.4786444853098234E-12</v>
      </c>
      <c r="F17">
        <v>5.5554759629377655</v>
      </c>
      <c r="G17">
        <v>7.2811736520337549</v>
      </c>
      <c r="H17">
        <v>5.5554759629377655</v>
      </c>
      <c r="I17">
        <v>7.2811736520337549</v>
      </c>
    </row>
    <row r="18" spans="1:9" ht="15" thickBot="1" x14ac:dyDescent="0.4">
      <c r="A18" s="11" t="s">
        <v>91</v>
      </c>
      <c r="B18" s="11">
        <v>6.8566019187708198</v>
      </c>
      <c r="C18" s="11">
        <v>0.16564392624473218</v>
      </c>
      <c r="D18" s="11">
        <v>41.393621089616467</v>
      </c>
      <c r="E18" s="11">
        <v>2.6431411256447493E-19</v>
      </c>
      <c r="F18" s="11">
        <v>6.5085969432912014</v>
      </c>
      <c r="G18" s="11">
        <v>7.2046068942504382</v>
      </c>
      <c r="H18" s="11">
        <v>6.5085969432912014</v>
      </c>
      <c r="I18" s="11">
        <v>7.2046068942504382</v>
      </c>
    </row>
    <row r="22" spans="1:9" x14ac:dyDescent="0.35">
      <c r="A22" t="s">
        <v>118</v>
      </c>
      <c r="F22" t="s">
        <v>122</v>
      </c>
    </row>
    <row r="23" spans="1:9" ht="15" thickBot="1" x14ac:dyDescent="0.4"/>
    <row r="24" spans="1:9" x14ac:dyDescent="0.35">
      <c r="A24" s="35" t="s">
        <v>90</v>
      </c>
      <c r="B24" s="35" t="s">
        <v>119</v>
      </c>
      <c r="C24" s="35" t="s">
        <v>120</v>
      </c>
      <c r="D24" s="35" t="s">
        <v>121</v>
      </c>
      <c r="F24" s="35" t="s">
        <v>123</v>
      </c>
      <c r="G24" s="35" t="s">
        <v>92</v>
      </c>
    </row>
    <row r="25" spans="1:9" x14ac:dyDescent="0.35">
      <c r="A25">
        <v>1</v>
      </c>
      <c r="B25">
        <v>14.646247110010744</v>
      </c>
      <c r="C25">
        <v>0.35375288998925569</v>
      </c>
      <c r="D25">
        <v>0.41866945167818337</v>
      </c>
      <c r="F25">
        <v>2.5</v>
      </c>
      <c r="G25">
        <v>10</v>
      </c>
    </row>
    <row r="26" spans="1:9" x14ac:dyDescent="0.35">
      <c r="A26">
        <v>2</v>
      </c>
      <c r="B26">
        <v>23.559829604412808</v>
      </c>
      <c r="C26">
        <v>-1.5598296044128084</v>
      </c>
      <c r="D26">
        <v>-1.8460711521275288</v>
      </c>
      <c r="F26">
        <v>7.5</v>
      </c>
      <c r="G26">
        <v>11</v>
      </c>
    </row>
    <row r="27" spans="1:9" x14ac:dyDescent="0.35">
      <c r="A27">
        <v>3</v>
      </c>
      <c r="B27">
        <v>11.903606342502417</v>
      </c>
      <c r="C27">
        <v>9.6393657497582552E-2</v>
      </c>
      <c r="D27">
        <v>0.11408268560291687</v>
      </c>
      <c r="F27">
        <v>12.5</v>
      </c>
      <c r="G27">
        <v>12</v>
      </c>
    </row>
    <row r="28" spans="1:9" x14ac:dyDescent="0.35">
      <c r="A28">
        <v>4</v>
      </c>
      <c r="B28">
        <v>27.673790755675302</v>
      </c>
      <c r="C28">
        <v>0.32620924432469778</v>
      </c>
      <c r="D28">
        <v>0.38607132074009021</v>
      </c>
      <c r="F28">
        <v>17.5</v>
      </c>
      <c r="G28">
        <v>13</v>
      </c>
    </row>
    <row r="29" spans="1:9" x14ac:dyDescent="0.35">
      <c r="A29">
        <v>5</v>
      </c>
      <c r="B29">
        <v>18.074548069396151</v>
      </c>
      <c r="C29">
        <v>-7.4548069396151107E-2</v>
      </c>
      <c r="D29">
        <v>-8.8228252605093066E-2</v>
      </c>
      <c r="F29">
        <v>22.5</v>
      </c>
      <c r="G29">
        <v>14</v>
      </c>
    </row>
    <row r="30" spans="1:9" x14ac:dyDescent="0.35">
      <c r="A30">
        <v>6</v>
      </c>
      <c r="B30">
        <v>33.844732482569043</v>
      </c>
      <c r="C30">
        <v>1.155267517430957</v>
      </c>
      <c r="D30">
        <v>1.3672685983685542</v>
      </c>
      <c r="F30">
        <v>27.5</v>
      </c>
      <c r="G30">
        <v>15</v>
      </c>
    </row>
    <row r="31" spans="1:9" x14ac:dyDescent="0.35">
      <c r="A31">
        <v>7</v>
      </c>
      <c r="B31">
        <v>21.502849028781565</v>
      </c>
      <c r="C31">
        <v>-1.502849028781565</v>
      </c>
      <c r="D31">
        <v>-1.7786341727248602</v>
      </c>
      <c r="F31">
        <v>32.5</v>
      </c>
      <c r="G31">
        <v>16</v>
      </c>
    </row>
    <row r="32" spans="1:9" x14ac:dyDescent="0.35">
      <c r="A32">
        <v>8</v>
      </c>
      <c r="B32">
        <v>9.8466257668711705</v>
      </c>
      <c r="C32">
        <v>0.15337423312882947</v>
      </c>
      <c r="D32">
        <v>0.18151966500558966</v>
      </c>
      <c r="F32">
        <v>37.5</v>
      </c>
      <c r="G32">
        <v>17</v>
      </c>
    </row>
    <row r="33" spans="1:7" x14ac:dyDescent="0.35">
      <c r="A33">
        <v>9</v>
      </c>
      <c r="B33">
        <v>32.473412098814876</v>
      </c>
      <c r="C33">
        <v>-0.473412098814876</v>
      </c>
      <c r="D33">
        <v>-0.56028710842379836</v>
      </c>
      <c r="F33">
        <v>42.5</v>
      </c>
      <c r="G33">
        <v>18</v>
      </c>
    </row>
    <row r="34" spans="1:7" x14ac:dyDescent="0.35">
      <c r="A34">
        <v>10</v>
      </c>
      <c r="B34">
        <v>13.274926726256581</v>
      </c>
      <c r="C34">
        <v>0.72507327374341912</v>
      </c>
      <c r="D34">
        <v>0.85813017655879131</v>
      </c>
      <c r="F34">
        <v>47.5</v>
      </c>
      <c r="G34">
        <v>19</v>
      </c>
    </row>
    <row r="35" spans="1:7" x14ac:dyDescent="0.35">
      <c r="A35">
        <v>11</v>
      </c>
      <c r="B35">
        <v>26.302470371921139</v>
      </c>
      <c r="C35">
        <v>-0.30247037192113879</v>
      </c>
      <c r="D35">
        <v>-0.35797617021578421</v>
      </c>
      <c r="F35">
        <v>52.5</v>
      </c>
      <c r="G35">
        <v>20</v>
      </c>
    </row>
    <row r="36" spans="1:7" x14ac:dyDescent="0.35">
      <c r="A36">
        <v>12</v>
      </c>
      <c r="B36">
        <v>16.703227685641991</v>
      </c>
      <c r="C36">
        <v>0.29677231435800877</v>
      </c>
      <c r="D36">
        <v>0.35123247227551063</v>
      </c>
      <c r="F36">
        <v>57.5</v>
      </c>
      <c r="G36">
        <v>22</v>
      </c>
    </row>
    <row r="37" spans="1:7" x14ac:dyDescent="0.35">
      <c r="A37">
        <v>13</v>
      </c>
      <c r="B37">
        <v>12.589266534379497</v>
      </c>
      <c r="C37">
        <v>0.41073346562050261</v>
      </c>
      <c r="D37">
        <v>0.48610643108085616</v>
      </c>
      <c r="F37">
        <v>62.5</v>
      </c>
      <c r="G37">
        <v>24</v>
      </c>
    </row>
    <row r="38" spans="1:7" x14ac:dyDescent="0.35">
      <c r="A38">
        <v>14</v>
      </c>
      <c r="B38">
        <v>30.416431523183629</v>
      </c>
      <c r="C38">
        <v>-0.41643152318362908</v>
      </c>
      <c r="D38">
        <v>-0.49285012902112557</v>
      </c>
      <c r="F38">
        <v>67.5</v>
      </c>
      <c r="G38">
        <v>26</v>
      </c>
    </row>
    <row r="39" spans="1:7" x14ac:dyDescent="0.35">
      <c r="A39">
        <v>15</v>
      </c>
      <c r="B39">
        <v>20.131528645027402</v>
      </c>
      <c r="C39">
        <v>-1.1315286450274016</v>
      </c>
      <c r="D39">
        <v>-1.3391734478442523</v>
      </c>
      <c r="F39">
        <v>72.5</v>
      </c>
      <c r="G39">
        <v>28</v>
      </c>
    </row>
    <row r="40" spans="1:7" x14ac:dyDescent="0.35">
      <c r="A40">
        <v>16</v>
      </c>
      <c r="B40">
        <v>35.216052866323203</v>
      </c>
      <c r="C40">
        <v>1.7839471336767971</v>
      </c>
      <c r="D40">
        <v>2.1113160893244327</v>
      </c>
      <c r="F40">
        <v>77.5</v>
      </c>
      <c r="G40">
        <v>29</v>
      </c>
    </row>
    <row r="41" spans="1:7" x14ac:dyDescent="0.35">
      <c r="A41">
        <v>17</v>
      </c>
      <c r="B41">
        <v>15.331907301887826</v>
      </c>
      <c r="C41">
        <v>0.66809269811217398</v>
      </c>
      <c r="D41">
        <v>0.79069319715612063</v>
      </c>
      <c r="F41">
        <v>82.5</v>
      </c>
      <c r="G41">
        <v>30</v>
      </c>
    </row>
    <row r="42" spans="1:7" x14ac:dyDescent="0.35">
      <c r="A42">
        <v>18</v>
      </c>
      <c r="B42">
        <v>24.931149988166975</v>
      </c>
      <c r="C42">
        <v>-0.93114998816697536</v>
      </c>
      <c r="D42">
        <v>-1.1020236611716585</v>
      </c>
      <c r="F42">
        <v>87.5</v>
      </c>
      <c r="G42">
        <v>32</v>
      </c>
    </row>
    <row r="43" spans="1:7" x14ac:dyDescent="0.35">
      <c r="A43">
        <v>19</v>
      </c>
      <c r="B43">
        <v>10.532285958748252</v>
      </c>
      <c r="C43">
        <v>0.46771404125174776</v>
      </c>
      <c r="D43">
        <v>0.55354341048352684</v>
      </c>
      <c r="F43">
        <v>92.5</v>
      </c>
      <c r="G43">
        <v>35</v>
      </c>
    </row>
    <row r="44" spans="1:7" ht="15" thickBot="1" x14ac:dyDescent="0.4">
      <c r="A44" s="11">
        <v>20</v>
      </c>
      <c r="B44" s="11">
        <v>29.045111139429466</v>
      </c>
      <c r="C44" s="11">
        <v>-4.5111139429465652E-2</v>
      </c>
      <c r="D44" s="11">
        <v>-5.3389404140517682E-2</v>
      </c>
      <c r="F44" s="11">
        <v>97.5</v>
      </c>
      <c r="G44" s="11">
        <v>37</v>
      </c>
    </row>
  </sheetData>
  <sortState xmlns:xlrd2="http://schemas.microsoft.com/office/spreadsheetml/2017/richdata2" ref="G25:G44">
    <sortCondition ref="G25"/>
  </sortState>
  <mergeCells count="4">
    <mergeCell ref="G2:K2"/>
    <mergeCell ref="G6:K6"/>
    <mergeCell ref="G7:K7"/>
    <mergeCell ref="G3:K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4EB8-A778-4CFD-849B-0149EBA45343}">
  <dimension ref="A1:K25"/>
  <sheetViews>
    <sheetView workbookViewId="0">
      <selection activeCell="F5" sqref="F5"/>
    </sheetView>
  </sheetViews>
  <sheetFormatPr defaultRowHeight="14.5" x14ac:dyDescent="0.35"/>
  <cols>
    <col min="2" max="2" width="9.81640625" customWidth="1"/>
    <col min="3" max="3" width="9.90625" customWidth="1"/>
    <col min="4" max="4" width="15.1796875" customWidth="1"/>
    <col min="7" max="7" width="15.1796875" bestFit="1" customWidth="1"/>
    <col min="8" max="9" width="11.81640625" bestFit="1" customWidth="1"/>
    <col min="10" max="10" width="15.7265625" bestFit="1" customWidth="1"/>
  </cols>
  <sheetData>
    <row r="1" spans="1:11" x14ac:dyDescent="0.35">
      <c r="A1" s="49" t="s">
        <v>85</v>
      </c>
      <c r="B1" s="49" t="s">
        <v>86</v>
      </c>
      <c r="C1" s="49" t="s">
        <v>87</v>
      </c>
      <c r="D1" s="49" t="s">
        <v>88</v>
      </c>
      <c r="G1" s="35"/>
      <c r="H1" s="47" t="s">
        <v>86</v>
      </c>
      <c r="I1" s="47" t="s">
        <v>87</v>
      </c>
      <c r="J1" s="47" t="s">
        <v>88</v>
      </c>
    </row>
    <row r="2" spans="1:11" x14ac:dyDescent="0.35">
      <c r="A2" s="45" t="s">
        <v>151</v>
      </c>
      <c r="B2" s="45">
        <v>2.1</v>
      </c>
      <c r="C2" s="45">
        <v>1.5</v>
      </c>
      <c r="D2" s="45">
        <v>1.8</v>
      </c>
      <c r="G2" s="48" t="s">
        <v>86</v>
      </c>
      <c r="H2">
        <f>VARP(CoVariance_Stock!$B$2:$B$25)</f>
        <v>3.36123263888889</v>
      </c>
    </row>
    <row r="3" spans="1:11" x14ac:dyDescent="0.35">
      <c r="A3" s="45" t="s">
        <v>152</v>
      </c>
      <c r="B3" s="45">
        <v>-0.8</v>
      </c>
      <c r="C3" s="45">
        <v>0.6</v>
      </c>
      <c r="D3" s="45">
        <v>-0.3</v>
      </c>
      <c r="G3" s="48" t="s">
        <v>87</v>
      </c>
      <c r="H3">
        <v>2.5811111111111109</v>
      </c>
      <c r="I3">
        <f>VARP(CoVariance_Stock!$C$2:$C$25)</f>
        <v>2.2647222222222219</v>
      </c>
    </row>
    <row r="4" spans="1:11" ht="15" thickBot="1" x14ac:dyDescent="0.4">
      <c r="A4" s="45" t="s">
        <v>153</v>
      </c>
      <c r="B4" s="45">
        <v>3.4</v>
      </c>
      <c r="C4" s="45">
        <v>2.2000000000000002</v>
      </c>
      <c r="D4" s="45">
        <v>2.9</v>
      </c>
      <c r="G4" s="48" t="s">
        <v>88</v>
      </c>
      <c r="H4" s="11">
        <v>2.9530902777777777</v>
      </c>
      <c r="I4" s="11">
        <v>2.3697222222222227</v>
      </c>
      <c r="J4" s="11">
        <f>VARP(CoVariance_Stock!$D$2:$D$25)</f>
        <v>2.6349305555555556</v>
      </c>
    </row>
    <row r="5" spans="1:11" x14ac:dyDescent="0.35">
      <c r="A5" s="45" t="s">
        <v>154</v>
      </c>
      <c r="B5" s="45">
        <v>1.2</v>
      </c>
      <c r="C5" s="45">
        <v>-0.5</v>
      </c>
      <c r="D5" s="45">
        <v>0.7</v>
      </c>
    </row>
    <row r="6" spans="1:11" x14ac:dyDescent="0.35">
      <c r="A6" s="45" t="s">
        <v>155</v>
      </c>
      <c r="B6" s="45">
        <v>-1</v>
      </c>
      <c r="C6" s="45">
        <v>-2.2999999999999998</v>
      </c>
      <c r="D6" s="45">
        <v>-1.5</v>
      </c>
      <c r="G6" s="55" t="s">
        <v>89</v>
      </c>
      <c r="H6" s="55"/>
      <c r="I6" s="55"/>
      <c r="J6" s="55"/>
      <c r="K6" s="55"/>
    </row>
    <row r="7" spans="1:11" ht="62" customHeight="1" x14ac:dyDescent="0.35">
      <c r="A7" s="45" t="s">
        <v>156</v>
      </c>
      <c r="B7" s="45">
        <v>2.8</v>
      </c>
      <c r="C7" s="45">
        <v>1.9</v>
      </c>
      <c r="D7" s="45">
        <v>2.2999999999999998</v>
      </c>
      <c r="G7" s="53" t="s">
        <v>175</v>
      </c>
      <c r="H7" s="54"/>
      <c r="I7" s="54"/>
      <c r="J7" s="54"/>
      <c r="K7" s="54"/>
    </row>
    <row r="8" spans="1:11" x14ac:dyDescent="0.35">
      <c r="A8" s="45" t="s">
        <v>157</v>
      </c>
      <c r="B8" s="45">
        <v>0.5</v>
      </c>
      <c r="C8" s="45">
        <v>0.2</v>
      </c>
      <c r="D8" s="45">
        <v>0.4</v>
      </c>
    </row>
    <row r="9" spans="1:11" x14ac:dyDescent="0.35">
      <c r="A9" s="45" t="s">
        <v>158</v>
      </c>
      <c r="B9" s="45">
        <v>-2.2000000000000002</v>
      </c>
      <c r="C9" s="45">
        <v>-1.8</v>
      </c>
      <c r="D9" s="45">
        <v>-2</v>
      </c>
    </row>
    <row r="10" spans="1:11" x14ac:dyDescent="0.35">
      <c r="A10" s="45" t="s">
        <v>159</v>
      </c>
      <c r="B10" s="45">
        <v>3</v>
      </c>
      <c r="C10" s="45">
        <v>2.5</v>
      </c>
      <c r="D10" s="45">
        <v>2.7</v>
      </c>
    </row>
    <row r="11" spans="1:11" x14ac:dyDescent="0.35">
      <c r="A11" s="45" t="s">
        <v>160</v>
      </c>
      <c r="B11" s="45">
        <v>1.7</v>
      </c>
      <c r="C11" s="45">
        <v>1.1000000000000001</v>
      </c>
      <c r="D11" s="45">
        <v>1.4</v>
      </c>
    </row>
    <row r="12" spans="1:11" x14ac:dyDescent="0.35">
      <c r="A12" s="45" t="s">
        <v>161</v>
      </c>
      <c r="B12" s="45">
        <v>-0.6</v>
      </c>
      <c r="C12" s="45">
        <v>-1.2</v>
      </c>
      <c r="D12" s="45">
        <v>-0.9</v>
      </c>
    </row>
    <row r="13" spans="1:11" x14ac:dyDescent="0.35">
      <c r="A13" s="45" t="s">
        <v>162</v>
      </c>
      <c r="B13" s="45">
        <v>2.5</v>
      </c>
      <c r="C13" s="45">
        <v>1.8</v>
      </c>
      <c r="D13" s="45">
        <v>2.1</v>
      </c>
    </row>
    <row r="14" spans="1:11" x14ac:dyDescent="0.35">
      <c r="A14" s="45" t="s">
        <v>163</v>
      </c>
      <c r="B14" s="45">
        <v>1.9</v>
      </c>
      <c r="C14" s="45">
        <v>1.3</v>
      </c>
      <c r="D14" s="45">
        <v>1.6</v>
      </c>
    </row>
    <row r="15" spans="1:11" x14ac:dyDescent="0.35">
      <c r="A15" s="45" t="s">
        <v>164</v>
      </c>
      <c r="B15" s="45">
        <v>-1.4</v>
      </c>
      <c r="C15" s="45">
        <v>-0.7</v>
      </c>
      <c r="D15" s="45">
        <v>-1</v>
      </c>
    </row>
    <row r="16" spans="1:11" x14ac:dyDescent="0.35">
      <c r="A16" s="45" t="s">
        <v>165</v>
      </c>
      <c r="B16" s="45">
        <v>3.6</v>
      </c>
      <c r="C16" s="45">
        <v>2.8</v>
      </c>
      <c r="D16" s="45">
        <v>3.2</v>
      </c>
    </row>
    <row r="17" spans="1:4" x14ac:dyDescent="0.35">
      <c r="A17" s="45" t="s">
        <v>166</v>
      </c>
      <c r="B17" s="45">
        <v>0.9</v>
      </c>
      <c r="C17" s="45">
        <v>0.4</v>
      </c>
      <c r="D17" s="45">
        <v>0.7</v>
      </c>
    </row>
    <row r="18" spans="1:4" x14ac:dyDescent="0.35">
      <c r="A18" s="45" t="s">
        <v>167</v>
      </c>
      <c r="B18" s="45">
        <v>-2</v>
      </c>
      <c r="C18" s="45">
        <v>-1.5</v>
      </c>
      <c r="D18" s="45">
        <v>-1.7</v>
      </c>
    </row>
    <row r="19" spans="1:4" x14ac:dyDescent="0.35">
      <c r="A19" s="45" t="s">
        <v>168</v>
      </c>
      <c r="B19" s="45">
        <v>2.7</v>
      </c>
      <c r="C19" s="45">
        <v>2</v>
      </c>
      <c r="D19" s="45">
        <v>2.4</v>
      </c>
    </row>
    <row r="20" spans="1:4" x14ac:dyDescent="0.35">
      <c r="A20" s="45" t="s">
        <v>169</v>
      </c>
      <c r="B20" s="45">
        <v>0.8</v>
      </c>
      <c r="C20" s="45">
        <v>0.5</v>
      </c>
      <c r="D20" s="45">
        <v>0.6</v>
      </c>
    </row>
    <row r="21" spans="1:4" x14ac:dyDescent="0.35">
      <c r="A21" s="45" t="s">
        <v>170</v>
      </c>
      <c r="B21" s="45">
        <v>-1.8</v>
      </c>
      <c r="C21" s="45">
        <v>-1.1000000000000001</v>
      </c>
      <c r="D21" s="45">
        <v>-1.4</v>
      </c>
    </row>
    <row r="22" spans="1:4" x14ac:dyDescent="0.35">
      <c r="A22" s="45" t="s">
        <v>171</v>
      </c>
      <c r="B22" s="45">
        <v>3.2</v>
      </c>
      <c r="C22" s="45">
        <v>2.6</v>
      </c>
      <c r="D22" s="45">
        <v>2.9</v>
      </c>
    </row>
    <row r="23" spans="1:4" x14ac:dyDescent="0.35">
      <c r="A23" s="45" t="s">
        <v>172</v>
      </c>
      <c r="B23" s="45">
        <v>1.4</v>
      </c>
      <c r="C23" s="45">
        <v>0.9</v>
      </c>
      <c r="D23" s="45">
        <v>1.1000000000000001</v>
      </c>
    </row>
    <row r="24" spans="1:4" x14ac:dyDescent="0.35">
      <c r="A24" s="45" t="s">
        <v>173</v>
      </c>
      <c r="B24" s="45">
        <v>-0.9</v>
      </c>
      <c r="C24" s="45">
        <v>-1.3</v>
      </c>
      <c r="D24" s="45">
        <v>-1</v>
      </c>
    </row>
    <row r="25" spans="1:4" x14ac:dyDescent="0.35">
      <c r="A25" s="45" t="s">
        <v>174</v>
      </c>
      <c r="B25" s="45">
        <v>2.2999999999999998</v>
      </c>
      <c r="C25" s="45">
        <v>1.7</v>
      </c>
      <c r="D25" s="45">
        <v>2</v>
      </c>
    </row>
  </sheetData>
  <mergeCells count="2">
    <mergeCell ref="G7:K7"/>
    <mergeCell ref="G6:K6"/>
  </mergeCells>
  <conditionalFormatting sqref="G1:J1 G2:G4">
    <cfRule type="colorScale" priority="3">
      <colorScale>
        <cfvo type="min"/>
        <cfvo type="percentile" val="50"/>
        <cfvo type="max"/>
        <color rgb="FFF8696B"/>
        <color rgb="FFFFEB84"/>
        <color rgb="FF63BE7B"/>
      </colorScale>
    </cfRule>
  </conditionalFormatting>
  <conditionalFormatting sqref="G1:J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6E3C-2D0E-4EBA-8460-B882CDC7FC8B}">
  <dimension ref="A1:M39"/>
  <sheetViews>
    <sheetView topLeftCell="E5" workbookViewId="0">
      <selection activeCell="O21" sqref="O21"/>
    </sheetView>
  </sheetViews>
  <sheetFormatPr defaultColWidth="13.7265625" defaultRowHeight="14.5" x14ac:dyDescent="0.35"/>
  <cols>
    <col min="4" max="4" width="20.1796875" customWidth="1"/>
    <col min="5" max="5" width="25.6328125" customWidth="1"/>
  </cols>
  <sheetData>
    <row r="1" spans="1:8" x14ac:dyDescent="0.35">
      <c r="A1" s="39" t="s">
        <v>77</v>
      </c>
      <c r="B1" s="39" t="s">
        <v>78</v>
      </c>
      <c r="C1" s="39" t="s">
        <v>79</v>
      </c>
      <c r="D1" s="39" t="s">
        <v>80</v>
      </c>
      <c r="E1" s="39" t="s">
        <v>81</v>
      </c>
      <c r="F1" s="39" t="s">
        <v>82</v>
      </c>
      <c r="G1" s="39" t="s">
        <v>83</v>
      </c>
      <c r="H1" s="39" t="s">
        <v>84</v>
      </c>
    </row>
    <row r="2" spans="1:8" x14ac:dyDescent="0.35">
      <c r="A2" s="37">
        <v>37165</v>
      </c>
      <c r="B2" s="38">
        <v>1250</v>
      </c>
      <c r="C2" s="36">
        <v>980</v>
      </c>
      <c r="D2" s="36">
        <v>42.5</v>
      </c>
      <c r="E2" s="36">
        <v>3.2</v>
      </c>
      <c r="F2" t="e">
        <v>#N/A</v>
      </c>
      <c r="G2" t="e">
        <v>#N/A</v>
      </c>
      <c r="H2" t="e">
        <v>#N/A</v>
      </c>
    </row>
    <row r="3" spans="1:8" x14ac:dyDescent="0.35">
      <c r="A3" s="37">
        <v>37530</v>
      </c>
      <c r="B3" s="38">
        <v>1180</v>
      </c>
      <c r="C3" s="36">
        <v>910</v>
      </c>
      <c r="D3" s="36">
        <v>40.799999999999997</v>
      </c>
      <c r="E3" s="36">
        <v>3.4</v>
      </c>
      <c r="F3" t="e">
        <v>#N/A</v>
      </c>
      <c r="G3" t="e">
        <v>#N/A</v>
      </c>
      <c r="H3" t="e">
        <v>#N/A</v>
      </c>
    </row>
    <row r="4" spans="1:8" x14ac:dyDescent="0.35">
      <c r="A4" s="37">
        <v>37895</v>
      </c>
      <c r="B4" s="38">
        <v>1320</v>
      </c>
      <c r="C4" s="38">
        <v>1020</v>
      </c>
      <c r="D4" s="36">
        <v>41.2</v>
      </c>
      <c r="E4" s="36">
        <v>3.1</v>
      </c>
      <c r="F4">
        <f t="shared" ref="F4:F31" si="0">AVERAGE(E2:E4)</f>
        <v>3.2333333333333329</v>
      </c>
      <c r="G4" t="e">
        <v>#N/A</v>
      </c>
      <c r="H4" t="e">
        <v>#N/A</v>
      </c>
    </row>
    <row r="5" spans="1:8" x14ac:dyDescent="0.35">
      <c r="A5" s="37">
        <v>38261</v>
      </c>
      <c r="B5" s="38">
        <v>1400</v>
      </c>
      <c r="C5" s="38">
        <v>1050</v>
      </c>
      <c r="D5" s="36">
        <v>39.9</v>
      </c>
      <c r="E5" s="36">
        <v>3.5</v>
      </c>
      <c r="F5">
        <f t="shared" si="0"/>
        <v>3.3333333333333335</v>
      </c>
      <c r="G5" t="e">
        <v>#N/A</v>
      </c>
      <c r="H5" t="e">
        <v>#N/A</v>
      </c>
    </row>
    <row r="6" spans="1:8" x14ac:dyDescent="0.35">
      <c r="A6" s="37">
        <v>38626</v>
      </c>
      <c r="B6" s="38">
        <v>1100</v>
      </c>
      <c r="C6" s="36">
        <v>870</v>
      </c>
      <c r="D6" s="36">
        <v>43.7</v>
      </c>
      <c r="E6" s="36">
        <v>2.9</v>
      </c>
      <c r="F6">
        <f t="shared" si="0"/>
        <v>3.1666666666666665</v>
      </c>
      <c r="G6">
        <f t="shared" ref="G6:G31" si="1">AVERAGE(E2:E6)</f>
        <v>3.2199999999999998</v>
      </c>
      <c r="H6" t="e">
        <v>#N/A</v>
      </c>
    </row>
    <row r="7" spans="1:8" x14ac:dyDescent="0.35">
      <c r="A7" s="37">
        <v>38991</v>
      </c>
      <c r="B7" s="38">
        <v>1050</v>
      </c>
      <c r="C7" s="36">
        <v>820</v>
      </c>
      <c r="D7" s="36">
        <v>45.1</v>
      </c>
      <c r="E7" s="36">
        <v>2.8</v>
      </c>
      <c r="F7">
        <f t="shared" si="0"/>
        <v>3.0666666666666664</v>
      </c>
      <c r="G7">
        <f t="shared" si="1"/>
        <v>3.1399999999999997</v>
      </c>
      <c r="H7" t="e">
        <v>#N/A</v>
      </c>
    </row>
    <row r="8" spans="1:8" x14ac:dyDescent="0.35">
      <c r="A8" s="37">
        <v>39356</v>
      </c>
      <c r="B8" s="38">
        <v>1300</v>
      </c>
      <c r="C8" s="36">
        <v>990</v>
      </c>
      <c r="D8" s="36">
        <v>40.299999999999997</v>
      </c>
      <c r="E8" s="36">
        <v>3.3</v>
      </c>
      <c r="F8">
        <f t="shared" si="0"/>
        <v>3</v>
      </c>
      <c r="G8">
        <f t="shared" si="1"/>
        <v>3.12</v>
      </c>
      <c r="H8">
        <f t="shared" ref="H8:H31" si="2">AVERAGE(E2:E8)</f>
        <v>3.1714285714285713</v>
      </c>
    </row>
    <row r="9" spans="1:8" x14ac:dyDescent="0.35">
      <c r="A9" s="37">
        <v>39722</v>
      </c>
      <c r="B9" s="38">
        <v>1480</v>
      </c>
      <c r="C9" s="38">
        <v>1120</v>
      </c>
      <c r="D9" s="36">
        <v>38.700000000000003</v>
      </c>
      <c r="E9" s="36">
        <v>3.6</v>
      </c>
      <c r="F9">
        <f t="shared" si="0"/>
        <v>3.2333333333333329</v>
      </c>
      <c r="G9">
        <f t="shared" si="1"/>
        <v>3.22</v>
      </c>
      <c r="H9">
        <f t="shared" si="2"/>
        <v>3.2285714285714286</v>
      </c>
    </row>
    <row r="10" spans="1:8" x14ac:dyDescent="0.35">
      <c r="A10" s="37">
        <v>40087</v>
      </c>
      <c r="B10" s="38">
        <v>1520</v>
      </c>
      <c r="C10" s="38">
        <v>1150</v>
      </c>
      <c r="D10" s="36">
        <v>37.9</v>
      </c>
      <c r="E10" s="36">
        <v>3.7</v>
      </c>
      <c r="F10">
        <f t="shared" si="0"/>
        <v>3.5333333333333337</v>
      </c>
      <c r="G10">
        <f t="shared" si="1"/>
        <v>3.2600000000000002</v>
      </c>
      <c r="H10">
        <f t="shared" si="2"/>
        <v>3.2714285714285718</v>
      </c>
    </row>
    <row r="11" spans="1:8" x14ac:dyDescent="0.35">
      <c r="A11" s="37">
        <v>40452</v>
      </c>
      <c r="B11" s="38">
        <v>1250</v>
      </c>
      <c r="C11" s="36">
        <v>970</v>
      </c>
      <c r="D11" s="36">
        <v>41.5</v>
      </c>
      <c r="E11" s="36">
        <v>3.2</v>
      </c>
      <c r="F11">
        <f t="shared" si="0"/>
        <v>3.5</v>
      </c>
      <c r="G11">
        <f t="shared" si="1"/>
        <v>3.3199999999999994</v>
      </c>
      <c r="H11">
        <f t="shared" si="2"/>
        <v>3.2857142857142856</v>
      </c>
    </row>
    <row r="12" spans="1:8" x14ac:dyDescent="0.35">
      <c r="A12" s="37">
        <v>40817</v>
      </c>
      <c r="B12" s="38">
        <v>1180</v>
      </c>
      <c r="C12" s="36">
        <v>900</v>
      </c>
      <c r="D12" s="36">
        <v>42</v>
      </c>
      <c r="E12" s="36">
        <v>3</v>
      </c>
      <c r="F12">
        <f t="shared" si="0"/>
        <v>3.3000000000000003</v>
      </c>
      <c r="G12">
        <f t="shared" si="1"/>
        <v>3.3600000000000003</v>
      </c>
      <c r="H12">
        <f t="shared" si="2"/>
        <v>3.2142857142857144</v>
      </c>
    </row>
    <row r="13" spans="1:8" x14ac:dyDescent="0.35">
      <c r="A13" s="37">
        <v>41183</v>
      </c>
      <c r="B13" s="38">
        <v>1300</v>
      </c>
      <c r="C13" s="36">
        <v>980</v>
      </c>
      <c r="D13" s="36">
        <v>40.200000000000003</v>
      </c>
      <c r="E13" s="36">
        <v>3.4</v>
      </c>
      <c r="F13">
        <f t="shared" si="0"/>
        <v>3.1999999999999997</v>
      </c>
      <c r="G13">
        <f t="shared" si="1"/>
        <v>3.38</v>
      </c>
      <c r="H13">
        <f t="shared" si="2"/>
        <v>3.2857142857142851</v>
      </c>
    </row>
    <row r="14" spans="1:8" x14ac:dyDescent="0.35">
      <c r="A14" s="37">
        <v>41548</v>
      </c>
      <c r="B14" s="38">
        <v>1420</v>
      </c>
      <c r="C14" s="38">
        <v>1100</v>
      </c>
      <c r="D14" s="36">
        <v>39.1</v>
      </c>
      <c r="E14" s="36">
        <v>3.6</v>
      </c>
      <c r="F14">
        <f t="shared" si="0"/>
        <v>3.3333333333333335</v>
      </c>
      <c r="G14">
        <f t="shared" si="1"/>
        <v>3.3800000000000003</v>
      </c>
      <c r="H14">
        <f t="shared" si="2"/>
        <v>3.4</v>
      </c>
    </row>
    <row r="15" spans="1:8" x14ac:dyDescent="0.35">
      <c r="A15" s="37">
        <v>41913</v>
      </c>
      <c r="B15" s="38">
        <v>1550</v>
      </c>
      <c r="C15" s="38">
        <v>1180</v>
      </c>
      <c r="D15" s="36">
        <v>37.5</v>
      </c>
      <c r="E15" s="36">
        <v>3.8</v>
      </c>
      <c r="F15">
        <f t="shared" si="0"/>
        <v>3.6</v>
      </c>
      <c r="G15">
        <f t="shared" si="1"/>
        <v>3.4</v>
      </c>
      <c r="H15">
        <f t="shared" si="2"/>
        <v>3.4714285714285715</v>
      </c>
    </row>
    <row r="16" spans="1:8" x14ac:dyDescent="0.35">
      <c r="A16" s="37">
        <v>42278</v>
      </c>
      <c r="B16" s="38">
        <v>1600</v>
      </c>
      <c r="C16" s="38">
        <v>1200</v>
      </c>
      <c r="D16" s="36">
        <v>36.9</v>
      </c>
      <c r="E16" s="36">
        <v>3.9</v>
      </c>
      <c r="F16">
        <f t="shared" si="0"/>
        <v>3.7666666666666671</v>
      </c>
      <c r="G16">
        <f t="shared" si="1"/>
        <v>3.54</v>
      </c>
      <c r="H16">
        <f t="shared" si="2"/>
        <v>3.5142857142857147</v>
      </c>
    </row>
    <row r="17" spans="1:13" x14ac:dyDescent="0.35">
      <c r="A17" s="37">
        <v>42644</v>
      </c>
      <c r="B17" s="38">
        <v>1450</v>
      </c>
      <c r="C17" s="38">
        <v>1100</v>
      </c>
      <c r="D17" s="36">
        <v>38.200000000000003</v>
      </c>
      <c r="E17" s="36">
        <v>3.7</v>
      </c>
      <c r="F17">
        <f t="shared" si="0"/>
        <v>3.7999999999999994</v>
      </c>
      <c r="G17">
        <f t="shared" si="1"/>
        <v>3.6800000000000006</v>
      </c>
      <c r="H17">
        <f t="shared" si="2"/>
        <v>3.5142857142857138</v>
      </c>
      <c r="J17" t="s">
        <v>176</v>
      </c>
    </row>
    <row r="18" spans="1:13" ht="80.5" customHeight="1" x14ac:dyDescent="0.35">
      <c r="A18" s="37">
        <v>43009</v>
      </c>
      <c r="B18" s="38">
        <v>1300</v>
      </c>
      <c r="C18" s="36">
        <v>980</v>
      </c>
      <c r="D18" s="36">
        <v>40.4</v>
      </c>
      <c r="E18" s="36">
        <v>3.3</v>
      </c>
      <c r="F18">
        <f t="shared" si="0"/>
        <v>3.6333333333333329</v>
      </c>
      <c r="G18">
        <f t="shared" si="1"/>
        <v>3.66</v>
      </c>
      <c r="H18">
        <f t="shared" si="2"/>
        <v>3.5285714285714285</v>
      </c>
      <c r="J18" s="57" t="s">
        <v>180</v>
      </c>
      <c r="K18" s="57"/>
      <c r="L18" s="57"/>
      <c r="M18" s="57"/>
    </row>
    <row r="19" spans="1:13" x14ac:dyDescent="0.35">
      <c r="A19" s="37">
        <v>43374</v>
      </c>
      <c r="B19" s="38">
        <v>1200</v>
      </c>
      <c r="C19" s="36">
        <v>900</v>
      </c>
      <c r="D19" s="36">
        <v>42.1</v>
      </c>
      <c r="E19" s="36">
        <v>3.1</v>
      </c>
      <c r="F19">
        <f t="shared" si="0"/>
        <v>3.3666666666666667</v>
      </c>
      <c r="G19">
        <f t="shared" si="1"/>
        <v>3.56</v>
      </c>
      <c r="H19">
        <f t="shared" si="2"/>
        <v>3.5428571428571436</v>
      </c>
      <c r="J19" s="50"/>
    </row>
    <row r="20" spans="1:13" x14ac:dyDescent="0.35">
      <c r="A20" s="37">
        <v>43739</v>
      </c>
      <c r="B20" s="38">
        <v>1100</v>
      </c>
      <c r="C20" s="36">
        <v>850</v>
      </c>
      <c r="D20" s="36">
        <v>43.8</v>
      </c>
      <c r="E20" s="36">
        <v>2.9</v>
      </c>
      <c r="F20">
        <f t="shared" si="0"/>
        <v>3.1</v>
      </c>
      <c r="G20">
        <f t="shared" si="1"/>
        <v>3.38</v>
      </c>
      <c r="H20">
        <f t="shared" si="2"/>
        <v>3.4714285714285715</v>
      </c>
      <c r="J20" t="s">
        <v>177</v>
      </c>
    </row>
    <row r="21" spans="1:13" ht="68.5" customHeight="1" x14ac:dyDescent="0.35">
      <c r="A21" s="37">
        <v>44105</v>
      </c>
      <c r="B21" s="38">
        <v>1250</v>
      </c>
      <c r="C21" s="36">
        <v>970</v>
      </c>
      <c r="D21" s="36">
        <v>41.6</v>
      </c>
      <c r="E21" s="36">
        <v>3.2</v>
      </c>
      <c r="F21">
        <f t="shared" si="0"/>
        <v>3.0666666666666664</v>
      </c>
      <c r="G21">
        <f t="shared" si="1"/>
        <v>3.2399999999999998</v>
      </c>
      <c r="H21">
        <f t="shared" si="2"/>
        <v>3.4142857142857141</v>
      </c>
      <c r="J21" s="57" t="s">
        <v>181</v>
      </c>
      <c r="K21" s="57"/>
      <c r="L21" s="57"/>
      <c r="M21" s="57"/>
    </row>
    <row r="22" spans="1:13" x14ac:dyDescent="0.35">
      <c r="A22" s="37">
        <v>44470</v>
      </c>
      <c r="B22" s="38">
        <v>1380</v>
      </c>
      <c r="C22" s="38">
        <v>1050</v>
      </c>
      <c r="D22" s="36">
        <v>39.5</v>
      </c>
      <c r="E22" s="36">
        <v>3.5</v>
      </c>
      <c r="F22">
        <f t="shared" si="0"/>
        <v>3.1999999999999997</v>
      </c>
      <c r="G22">
        <f t="shared" si="1"/>
        <v>3.2</v>
      </c>
      <c r="H22">
        <f t="shared" si="2"/>
        <v>3.371428571428571</v>
      </c>
      <c r="J22" s="50"/>
    </row>
    <row r="23" spans="1:13" x14ac:dyDescent="0.35">
      <c r="A23" s="37">
        <v>44835</v>
      </c>
      <c r="B23" s="38">
        <v>1470</v>
      </c>
      <c r="C23" s="38">
        <v>1120</v>
      </c>
      <c r="D23" s="36">
        <v>38</v>
      </c>
      <c r="E23" s="36">
        <v>3.7</v>
      </c>
      <c r="F23">
        <f t="shared" si="0"/>
        <v>3.4666666666666668</v>
      </c>
      <c r="G23">
        <f t="shared" si="1"/>
        <v>3.28</v>
      </c>
      <c r="H23">
        <f t="shared" si="2"/>
        <v>3.3428571428571425</v>
      </c>
      <c r="J23" t="s">
        <v>178</v>
      </c>
    </row>
    <row r="24" spans="1:13" ht="69" customHeight="1" x14ac:dyDescent="0.35">
      <c r="A24" s="37">
        <v>45200</v>
      </c>
      <c r="B24" s="38">
        <v>1520</v>
      </c>
      <c r="C24" s="38">
        <v>1160</v>
      </c>
      <c r="D24" s="36">
        <v>37.200000000000003</v>
      </c>
      <c r="E24" s="36">
        <v>3.8</v>
      </c>
      <c r="F24">
        <f t="shared" si="0"/>
        <v>3.6666666666666665</v>
      </c>
      <c r="G24">
        <f t="shared" si="1"/>
        <v>3.4200000000000004</v>
      </c>
      <c r="H24">
        <f t="shared" si="2"/>
        <v>3.3571428571428572</v>
      </c>
      <c r="J24" s="57" t="s">
        <v>179</v>
      </c>
      <c r="K24" s="57"/>
      <c r="L24" s="57"/>
      <c r="M24" s="57"/>
    </row>
    <row r="25" spans="1:13" ht="16.5" customHeight="1" x14ac:dyDescent="0.35">
      <c r="A25" s="37">
        <v>45566</v>
      </c>
      <c r="B25" s="38">
        <v>1600</v>
      </c>
      <c r="C25" s="38">
        <v>1200</v>
      </c>
      <c r="D25" s="36">
        <v>36.5</v>
      </c>
      <c r="E25" s="36">
        <v>4</v>
      </c>
      <c r="F25">
        <f t="shared" si="0"/>
        <v>3.8333333333333335</v>
      </c>
      <c r="G25">
        <f t="shared" si="1"/>
        <v>3.6399999999999997</v>
      </c>
      <c r="H25">
        <f t="shared" si="2"/>
        <v>3.4571428571428569</v>
      </c>
    </row>
    <row r="26" spans="1:13" x14ac:dyDescent="0.35">
      <c r="A26" s="37">
        <v>45931</v>
      </c>
      <c r="B26" s="38">
        <v>1480</v>
      </c>
      <c r="C26" s="38">
        <v>1100</v>
      </c>
      <c r="D26" s="36">
        <v>38.299999999999997</v>
      </c>
      <c r="E26" s="36">
        <v>3.6</v>
      </c>
      <c r="F26">
        <f t="shared" si="0"/>
        <v>3.8000000000000003</v>
      </c>
      <c r="G26">
        <f t="shared" si="1"/>
        <v>3.72</v>
      </c>
      <c r="H26">
        <f t="shared" si="2"/>
        <v>3.5285714285714289</v>
      </c>
      <c r="J26" s="50"/>
    </row>
    <row r="27" spans="1:13" x14ac:dyDescent="0.35">
      <c r="A27" s="37">
        <v>46296</v>
      </c>
      <c r="B27" s="38">
        <v>1300</v>
      </c>
      <c r="C27" s="36">
        <v>980</v>
      </c>
      <c r="D27" s="36">
        <v>40.1</v>
      </c>
      <c r="E27" s="36">
        <v>3.3</v>
      </c>
      <c r="F27">
        <f t="shared" si="0"/>
        <v>3.6333333333333329</v>
      </c>
      <c r="G27">
        <f t="shared" si="1"/>
        <v>3.6799999999999997</v>
      </c>
      <c r="H27">
        <f t="shared" si="2"/>
        <v>3.5857142857142859</v>
      </c>
      <c r="J27" s="50"/>
    </row>
    <row r="28" spans="1:13" x14ac:dyDescent="0.35">
      <c r="A28" s="37">
        <v>46661</v>
      </c>
      <c r="B28" s="38">
        <v>1200</v>
      </c>
      <c r="C28" s="36">
        <v>890</v>
      </c>
      <c r="D28" s="36">
        <v>42.4</v>
      </c>
      <c r="E28" s="36">
        <v>3</v>
      </c>
      <c r="F28">
        <f t="shared" si="0"/>
        <v>3.3000000000000003</v>
      </c>
      <c r="G28">
        <f t="shared" si="1"/>
        <v>3.54</v>
      </c>
      <c r="H28">
        <f t="shared" si="2"/>
        <v>3.5571428571428574</v>
      </c>
      <c r="J28" s="50"/>
    </row>
    <row r="29" spans="1:13" x14ac:dyDescent="0.35">
      <c r="A29" s="37">
        <v>47027</v>
      </c>
      <c r="B29" s="38">
        <v>1150</v>
      </c>
      <c r="C29" s="36">
        <v>860</v>
      </c>
      <c r="D29" s="36">
        <v>43.2</v>
      </c>
      <c r="E29" s="36">
        <v>2.9</v>
      </c>
      <c r="F29">
        <f t="shared" si="0"/>
        <v>3.0666666666666664</v>
      </c>
      <c r="G29">
        <f t="shared" si="1"/>
        <v>3.3599999999999994</v>
      </c>
      <c r="H29">
        <f t="shared" si="2"/>
        <v>3.4714285714285711</v>
      </c>
      <c r="J29" s="50"/>
    </row>
    <row r="30" spans="1:13" x14ac:dyDescent="0.35">
      <c r="A30" s="37">
        <v>47392</v>
      </c>
      <c r="B30" s="38">
        <v>1280</v>
      </c>
      <c r="C30" s="36">
        <v>950</v>
      </c>
      <c r="D30" s="36">
        <v>41</v>
      </c>
      <c r="E30" s="36">
        <v>3.2</v>
      </c>
      <c r="F30">
        <f t="shared" si="0"/>
        <v>3.0333333333333337</v>
      </c>
      <c r="G30">
        <f t="shared" si="1"/>
        <v>3.2</v>
      </c>
      <c r="H30">
        <f t="shared" si="2"/>
        <v>3.3999999999999995</v>
      </c>
    </row>
    <row r="31" spans="1:13" x14ac:dyDescent="0.35">
      <c r="A31" s="37">
        <v>11232</v>
      </c>
      <c r="B31" s="38">
        <v>1350</v>
      </c>
      <c r="C31" s="38">
        <v>1000</v>
      </c>
      <c r="D31" s="36">
        <v>39.799999999999997</v>
      </c>
      <c r="E31" s="36">
        <v>3.4</v>
      </c>
      <c r="F31">
        <f t="shared" si="0"/>
        <v>3.1666666666666665</v>
      </c>
      <c r="G31">
        <f t="shared" si="1"/>
        <v>3.1599999999999997</v>
      </c>
      <c r="H31">
        <f t="shared" si="2"/>
        <v>3.3428571428571421</v>
      </c>
    </row>
    <row r="32" spans="1:13" ht="63" customHeight="1" x14ac:dyDescent="0.35"/>
    <row r="33" spans="10:10" x14ac:dyDescent="0.35">
      <c r="J33" s="51"/>
    </row>
    <row r="34" spans="10:10" x14ac:dyDescent="0.35">
      <c r="J34" s="52"/>
    </row>
    <row r="35" spans="10:10" x14ac:dyDescent="0.35">
      <c r="J35" s="52"/>
    </row>
    <row r="36" spans="10:10" x14ac:dyDescent="0.35">
      <c r="J36" s="51"/>
    </row>
    <row r="37" spans="10:10" x14ac:dyDescent="0.35">
      <c r="J37" s="50"/>
    </row>
    <row r="38" spans="10:10" x14ac:dyDescent="0.35">
      <c r="J38" s="50"/>
    </row>
    <row r="39" spans="10:10" x14ac:dyDescent="0.35">
      <c r="J39" s="50"/>
    </row>
  </sheetData>
  <mergeCells count="3">
    <mergeCell ref="J24:M24"/>
    <mergeCell ref="J21:M21"/>
    <mergeCell ref="J18:M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CC03-E352-4572-8CCF-B61B76F8354D}">
  <dimension ref="A1:L26"/>
  <sheetViews>
    <sheetView tabSelected="1" workbookViewId="0">
      <selection activeCell="G21" sqref="G21"/>
    </sheetView>
  </sheetViews>
  <sheetFormatPr defaultRowHeight="14.5" x14ac:dyDescent="0.35"/>
  <cols>
    <col min="2" max="2" width="16.6328125" bestFit="1" customWidth="1"/>
    <col min="3" max="3" width="16.26953125" bestFit="1" customWidth="1"/>
    <col min="4" max="4" width="13.08984375" bestFit="1" customWidth="1"/>
    <col min="5" max="5" width="10.90625" bestFit="1" customWidth="1"/>
    <col min="7" max="7" width="21.08984375" customWidth="1"/>
    <col min="9" max="9" width="20.453125" customWidth="1"/>
    <col min="11" max="11" width="21.453125" customWidth="1"/>
  </cols>
  <sheetData>
    <row r="1" spans="1:12" x14ac:dyDescent="0.35">
      <c r="A1" s="46" t="s">
        <v>185</v>
      </c>
      <c r="B1" s="46" t="s">
        <v>55</v>
      </c>
      <c r="C1" s="46" t="s">
        <v>186</v>
      </c>
      <c r="D1" s="46" t="s">
        <v>187</v>
      </c>
      <c r="E1" s="46" t="s">
        <v>53</v>
      </c>
      <c r="G1" s="60" t="s">
        <v>59</v>
      </c>
      <c r="H1" s="60"/>
      <c r="I1" s="60" t="s">
        <v>54</v>
      </c>
      <c r="J1" s="60"/>
      <c r="K1" s="60" t="s">
        <v>55</v>
      </c>
      <c r="L1" s="60"/>
    </row>
    <row r="2" spans="1:12" x14ac:dyDescent="0.35">
      <c r="A2" s="27">
        <v>1</v>
      </c>
      <c r="B2" s="27">
        <v>81</v>
      </c>
      <c r="C2" s="27">
        <v>2</v>
      </c>
      <c r="D2" s="27">
        <v>18</v>
      </c>
      <c r="E2" s="27" t="s">
        <v>56</v>
      </c>
    </row>
    <row r="3" spans="1:12" x14ac:dyDescent="0.35">
      <c r="A3" s="27">
        <v>2</v>
      </c>
      <c r="B3" s="27">
        <v>88</v>
      </c>
      <c r="C3" s="27">
        <v>5</v>
      </c>
      <c r="D3" s="27">
        <v>32</v>
      </c>
      <c r="E3" s="27" t="s">
        <v>57</v>
      </c>
      <c r="G3" t="s">
        <v>60</v>
      </c>
      <c r="H3">
        <v>82.2</v>
      </c>
      <c r="I3" t="s">
        <v>60</v>
      </c>
      <c r="J3">
        <v>4.4000000000000004</v>
      </c>
      <c r="K3" t="s">
        <v>60</v>
      </c>
      <c r="L3">
        <v>28.16</v>
      </c>
    </row>
    <row r="4" spans="1:12" x14ac:dyDescent="0.35">
      <c r="A4" s="27">
        <v>3</v>
      </c>
      <c r="B4" s="27">
        <v>74</v>
      </c>
      <c r="C4" s="27">
        <v>3</v>
      </c>
      <c r="D4" s="27">
        <v>22</v>
      </c>
      <c r="E4" s="27" t="s">
        <v>58</v>
      </c>
      <c r="G4" t="s">
        <v>61</v>
      </c>
      <c r="H4">
        <v>1.5947831618540915</v>
      </c>
      <c r="I4" t="s">
        <v>61</v>
      </c>
      <c r="J4">
        <v>0.44347115652166902</v>
      </c>
      <c r="K4" t="s">
        <v>61</v>
      </c>
      <c r="L4">
        <v>1.8634019069075429</v>
      </c>
    </row>
    <row r="5" spans="1:12" x14ac:dyDescent="0.35">
      <c r="A5" s="27">
        <v>4</v>
      </c>
      <c r="B5" s="27">
        <v>93</v>
      </c>
      <c r="C5" s="27">
        <v>7</v>
      </c>
      <c r="D5" s="27">
        <v>40</v>
      </c>
      <c r="E5" s="27" t="s">
        <v>13</v>
      </c>
      <c r="G5" t="s">
        <v>62</v>
      </c>
      <c r="H5">
        <v>80</v>
      </c>
      <c r="I5" t="s">
        <v>62</v>
      </c>
      <c r="J5">
        <v>4</v>
      </c>
      <c r="K5" t="s">
        <v>62</v>
      </c>
      <c r="L5">
        <v>25</v>
      </c>
    </row>
    <row r="6" spans="1:12" x14ac:dyDescent="0.35">
      <c r="A6" s="27">
        <v>5</v>
      </c>
      <c r="B6" s="27">
        <v>79</v>
      </c>
      <c r="C6" s="27">
        <v>2</v>
      </c>
      <c r="D6" s="27">
        <v>20</v>
      </c>
      <c r="E6" s="27" t="s">
        <v>56</v>
      </c>
      <c r="G6" t="s">
        <v>63</v>
      </c>
      <c r="H6">
        <v>79</v>
      </c>
      <c r="I6" t="s">
        <v>63</v>
      </c>
      <c r="J6">
        <v>2</v>
      </c>
      <c r="K6" t="s">
        <v>63</v>
      </c>
      <c r="L6">
        <v>22</v>
      </c>
    </row>
    <row r="7" spans="1:12" x14ac:dyDescent="0.35">
      <c r="A7" s="27">
        <v>6</v>
      </c>
      <c r="B7" s="27">
        <v>90</v>
      </c>
      <c r="C7" s="27">
        <v>6</v>
      </c>
      <c r="D7" s="27">
        <v>36</v>
      </c>
      <c r="E7" s="27" t="s">
        <v>57</v>
      </c>
      <c r="G7" t="s">
        <v>64</v>
      </c>
      <c r="H7">
        <v>7.9739158092704576</v>
      </c>
      <c r="I7" t="s">
        <v>64</v>
      </c>
      <c r="J7">
        <v>2.2173557826083452</v>
      </c>
      <c r="K7" t="s">
        <v>64</v>
      </c>
      <c r="L7">
        <v>9.3170095345377142</v>
      </c>
    </row>
    <row r="8" spans="1:12" x14ac:dyDescent="0.35">
      <c r="A8" s="27">
        <v>7</v>
      </c>
      <c r="B8" s="27">
        <v>85</v>
      </c>
      <c r="C8" s="27">
        <v>4</v>
      </c>
      <c r="D8" s="27">
        <v>28</v>
      </c>
      <c r="E8" s="27" t="s">
        <v>13</v>
      </c>
      <c r="G8" t="s">
        <v>65</v>
      </c>
      <c r="H8">
        <v>63.583333333333336</v>
      </c>
      <c r="I8" t="s">
        <v>65</v>
      </c>
      <c r="J8">
        <v>4.916666666666667</v>
      </c>
      <c r="K8" t="s">
        <v>65</v>
      </c>
      <c r="L8">
        <v>86.806666666666686</v>
      </c>
    </row>
    <row r="9" spans="1:12" x14ac:dyDescent="0.35">
      <c r="A9" s="27">
        <v>8</v>
      </c>
      <c r="B9" s="27">
        <v>70</v>
      </c>
      <c r="C9" s="27">
        <v>1</v>
      </c>
      <c r="D9" s="27">
        <v>15</v>
      </c>
      <c r="E9" s="27" t="s">
        <v>58</v>
      </c>
      <c r="G9" t="s">
        <v>66</v>
      </c>
      <c r="H9">
        <v>-0.98503950304910282</v>
      </c>
      <c r="I9" t="s">
        <v>66</v>
      </c>
      <c r="J9">
        <v>-0.78370555914490181</v>
      </c>
      <c r="K9" t="s">
        <v>66</v>
      </c>
      <c r="L9">
        <v>-0.53004310561958246</v>
      </c>
    </row>
    <row r="10" spans="1:12" x14ac:dyDescent="0.35">
      <c r="A10" s="27">
        <v>9</v>
      </c>
      <c r="B10" s="27">
        <v>95</v>
      </c>
      <c r="C10" s="27">
        <v>8</v>
      </c>
      <c r="D10" s="27">
        <v>45</v>
      </c>
      <c r="E10" s="27" t="s">
        <v>57</v>
      </c>
      <c r="G10" t="s">
        <v>67</v>
      </c>
      <c r="H10">
        <v>0.11855568006731856</v>
      </c>
      <c r="I10" t="s">
        <v>67</v>
      </c>
      <c r="J10">
        <v>0.26919673515797649</v>
      </c>
      <c r="K10" t="s">
        <v>67</v>
      </c>
      <c r="L10">
        <v>0.56209991336679943</v>
      </c>
    </row>
    <row r="11" spans="1:12" x14ac:dyDescent="0.35">
      <c r="A11" s="27">
        <v>10</v>
      </c>
      <c r="B11" s="27">
        <v>77</v>
      </c>
      <c r="C11" s="27">
        <v>3</v>
      </c>
      <c r="D11" s="27">
        <v>24</v>
      </c>
      <c r="E11" s="27" t="s">
        <v>56</v>
      </c>
      <c r="G11" t="s">
        <v>68</v>
      </c>
      <c r="H11">
        <v>28</v>
      </c>
      <c r="I11" t="s">
        <v>68</v>
      </c>
      <c r="J11">
        <v>8</v>
      </c>
      <c r="K11" t="s">
        <v>68</v>
      </c>
      <c r="L11">
        <v>34</v>
      </c>
    </row>
    <row r="12" spans="1:12" x14ac:dyDescent="0.35">
      <c r="A12" s="27">
        <v>11</v>
      </c>
      <c r="B12" s="27">
        <v>89</v>
      </c>
      <c r="C12" s="27">
        <v>5</v>
      </c>
      <c r="D12" s="27">
        <v>34</v>
      </c>
      <c r="E12" s="27" t="s">
        <v>13</v>
      </c>
      <c r="G12" t="s">
        <v>69</v>
      </c>
      <c r="H12">
        <v>68</v>
      </c>
      <c r="I12" t="s">
        <v>69</v>
      </c>
      <c r="J12">
        <v>1</v>
      </c>
      <c r="K12" t="s">
        <v>69</v>
      </c>
      <c r="L12">
        <v>14</v>
      </c>
    </row>
    <row r="13" spans="1:12" x14ac:dyDescent="0.35">
      <c r="A13" s="27">
        <v>12</v>
      </c>
      <c r="B13" s="27">
        <v>72</v>
      </c>
      <c r="C13" s="27">
        <v>2</v>
      </c>
      <c r="D13" s="27">
        <v>19</v>
      </c>
      <c r="E13" s="27" t="s">
        <v>58</v>
      </c>
      <c r="G13" t="s">
        <v>70</v>
      </c>
      <c r="H13">
        <v>96</v>
      </c>
      <c r="I13" t="s">
        <v>70</v>
      </c>
      <c r="J13">
        <v>9</v>
      </c>
      <c r="K13" t="s">
        <v>70</v>
      </c>
      <c r="L13">
        <v>48</v>
      </c>
    </row>
    <row r="14" spans="1:12" x14ac:dyDescent="0.35">
      <c r="A14" s="27">
        <v>13</v>
      </c>
      <c r="B14" s="27">
        <v>84</v>
      </c>
      <c r="C14" s="27">
        <v>4</v>
      </c>
      <c r="D14" s="27">
        <v>30</v>
      </c>
      <c r="E14" s="27" t="s">
        <v>56</v>
      </c>
      <c r="G14" t="s">
        <v>71</v>
      </c>
      <c r="H14">
        <v>2055</v>
      </c>
      <c r="I14" t="s">
        <v>71</v>
      </c>
      <c r="J14">
        <v>110</v>
      </c>
      <c r="K14" t="s">
        <v>71</v>
      </c>
      <c r="L14">
        <v>704</v>
      </c>
    </row>
    <row r="15" spans="1:12" x14ac:dyDescent="0.35">
      <c r="A15" s="27">
        <v>14</v>
      </c>
      <c r="B15" s="27">
        <v>91</v>
      </c>
      <c r="C15" s="27">
        <v>7</v>
      </c>
      <c r="D15" s="27">
        <v>42</v>
      </c>
      <c r="E15" s="27" t="s">
        <v>57</v>
      </c>
      <c r="G15" t="s">
        <v>72</v>
      </c>
      <c r="H15">
        <v>25</v>
      </c>
      <c r="I15" t="s">
        <v>72</v>
      </c>
      <c r="J15">
        <v>25</v>
      </c>
      <c r="K15" t="s">
        <v>72</v>
      </c>
      <c r="L15">
        <v>25</v>
      </c>
    </row>
    <row r="16" spans="1:12" ht="15" thickBot="1" x14ac:dyDescent="0.4">
      <c r="A16" s="27">
        <v>15</v>
      </c>
      <c r="B16" s="27">
        <v>86</v>
      </c>
      <c r="C16" s="27">
        <v>5</v>
      </c>
      <c r="D16" s="27">
        <v>33</v>
      </c>
      <c r="E16" s="27" t="s">
        <v>13</v>
      </c>
      <c r="G16" s="11" t="s">
        <v>73</v>
      </c>
      <c r="H16" s="11">
        <v>3.2914706738592541</v>
      </c>
      <c r="I16" s="11" t="s">
        <v>73</v>
      </c>
      <c r="J16" s="11">
        <v>0.91527948206858967</v>
      </c>
      <c r="K16" s="11" t="s">
        <v>73</v>
      </c>
      <c r="L16" s="11">
        <v>3.8458725154013975</v>
      </c>
    </row>
    <row r="17" spans="1:11" x14ac:dyDescent="0.35">
      <c r="A17" s="27">
        <v>16</v>
      </c>
      <c r="B17" s="27">
        <v>68</v>
      </c>
      <c r="C17" s="27">
        <v>1</v>
      </c>
      <c r="D17" s="27">
        <v>14</v>
      </c>
      <c r="E17" s="27" t="s">
        <v>58</v>
      </c>
    </row>
    <row r="18" spans="1:11" x14ac:dyDescent="0.35">
      <c r="A18" s="27">
        <v>17</v>
      </c>
      <c r="B18" s="27">
        <v>80</v>
      </c>
      <c r="C18" s="27">
        <v>3</v>
      </c>
      <c r="D18" s="27">
        <v>25</v>
      </c>
      <c r="E18" s="27" t="s">
        <v>56</v>
      </c>
    </row>
    <row r="19" spans="1:11" x14ac:dyDescent="0.35">
      <c r="A19" s="27">
        <v>18</v>
      </c>
      <c r="B19" s="27">
        <v>92</v>
      </c>
      <c r="C19" s="27">
        <v>6</v>
      </c>
      <c r="D19" s="27">
        <v>38</v>
      </c>
      <c r="E19" s="27" t="s">
        <v>57</v>
      </c>
      <c r="G19" s="55" t="s">
        <v>74</v>
      </c>
      <c r="H19" s="55"/>
      <c r="I19" s="55"/>
      <c r="J19" s="55"/>
    </row>
    <row r="20" spans="1:11" x14ac:dyDescent="0.35">
      <c r="A20" s="27">
        <v>19</v>
      </c>
      <c r="B20" s="27">
        <v>96</v>
      </c>
      <c r="C20" s="27">
        <v>9</v>
      </c>
      <c r="D20" s="27">
        <v>48</v>
      </c>
      <c r="E20" s="27" t="s">
        <v>13</v>
      </c>
      <c r="G20" s="59" t="s">
        <v>190</v>
      </c>
      <c r="H20" s="59"/>
      <c r="I20" s="59"/>
      <c r="J20" s="59"/>
      <c r="K20" s="59"/>
    </row>
    <row r="21" spans="1:11" x14ac:dyDescent="0.35">
      <c r="A21" s="27">
        <v>20</v>
      </c>
      <c r="B21" s="27">
        <v>75</v>
      </c>
      <c r="C21" s="27">
        <v>2</v>
      </c>
      <c r="D21" s="27">
        <v>21</v>
      </c>
      <c r="E21" s="27" t="s">
        <v>58</v>
      </c>
    </row>
    <row r="22" spans="1:11" x14ac:dyDescent="0.35">
      <c r="A22" s="27">
        <v>21</v>
      </c>
      <c r="B22" s="27">
        <v>76</v>
      </c>
      <c r="C22" s="27">
        <v>3</v>
      </c>
      <c r="D22" s="27">
        <v>22</v>
      </c>
      <c r="E22" s="27" t="s">
        <v>58</v>
      </c>
      <c r="G22" s="55" t="s">
        <v>75</v>
      </c>
      <c r="H22" s="55"/>
      <c r="I22" s="55"/>
      <c r="J22" s="55"/>
    </row>
    <row r="23" spans="1:11" x14ac:dyDescent="0.35">
      <c r="A23" s="27">
        <v>22</v>
      </c>
      <c r="B23" s="27">
        <v>77</v>
      </c>
      <c r="C23" s="27">
        <v>4</v>
      </c>
      <c r="D23" s="27">
        <v>23</v>
      </c>
      <c r="E23" s="27" t="s">
        <v>57</v>
      </c>
      <c r="G23" s="55" t="s">
        <v>189</v>
      </c>
      <c r="H23" s="55"/>
      <c r="I23" s="55"/>
      <c r="J23" s="55"/>
      <c r="K23" s="55"/>
    </row>
    <row r="24" spans="1:11" x14ac:dyDescent="0.35">
      <c r="A24" s="27">
        <v>23</v>
      </c>
      <c r="B24" s="27">
        <v>78</v>
      </c>
      <c r="C24" s="27">
        <v>5</v>
      </c>
      <c r="D24" s="27">
        <v>24</v>
      </c>
      <c r="E24" s="27" t="s">
        <v>56</v>
      </c>
    </row>
    <row r="25" spans="1:11" x14ac:dyDescent="0.35">
      <c r="A25" s="27">
        <v>24</v>
      </c>
      <c r="B25" s="27">
        <v>79</v>
      </c>
      <c r="C25" s="27">
        <v>6</v>
      </c>
      <c r="D25" s="27">
        <v>25</v>
      </c>
      <c r="E25" s="27" t="s">
        <v>13</v>
      </c>
      <c r="G25" s="55" t="s">
        <v>76</v>
      </c>
      <c r="H25" s="55"/>
      <c r="I25" s="55"/>
      <c r="J25" s="55"/>
    </row>
    <row r="26" spans="1:11" x14ac:dyDescent="0.35">
      <c r="A26" s="27">
        <v>25</v>
      </c>
      <c r="B26" s="27">
        <v>80</v>
      </c>
      <c r="C26" s="27">
        <v>7</v>
      </c>
      <c r="D26" s="27">
        <v>26</v>
      </c>
      <c r="E26" s="27" t="s">
        <v>58</v>
      </c>
      <c r="G26" s="55" t="s">
        <v>188</v>
      </c>
      <c r="H26" s="55"/>
      <c r="I26" s="55"/>
      <c r="J26" s="55"/>
      <c r="K26" s="55"/>
    </row>
  </sheetData>
  <mergeCells count="9">
    <mergeCell ref="G1:H1"/>
    <mergeCell ref="I1:J1"/>
    <mergeCell ref="K1:L1"/>
    <mergeCell ref="G26:K26"/>
    <mergeCell ref="G19:J19"/>
    <mergeCell ref="G22:J22"/>
    <mergeCell ref="G25:J25"/>
    <mergeCell ref="G20:K20"/>
    <mergeCell ref="G23:K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BF31-8827-4C2B-A7F8-57E0FBAFB978}">
  <dimension ref="A1:P22"/>
  <sheetViews>
    <sheetView workbookViewId="0">
      <selection activeCell="A23" sqref="A23"/>
    </sheetView>
  </sheetViews>
  <sheetFormatPr defaultRowHeight="14.5" x14ac:dyDescent="0.35"/>
  <cols>
    <col min="1" max="1" width="22.36328125" bestFit="1" customWidth="1"/>
    <col min="2" max="2" width="10" style="25" customWidth="1"/>
    <col min="3" max="3" width="15.54296875" bestFit="1" customWidth="1"/>
    <col min="11" max="11" width="11.08984375" customWidth="1"/>
    <col min="12" max="12" width="9.26953125" customWidth="1"/>
  </cols>
  <sheetData>
    <row r="1" spans="1:16" x14ac:dyDescent="0.35">
      <c r="A1" s="23" t="s">
        <v>37</v>
      </c>
      <c r="B1" s="3">
        <v>85</v>
      </c>
    </row>
    <row r="2" spans="1:16" x14ac:dyDescent="0.35">
      <c r="A2" s="1" t="s">
        <v>33</v>
      </c>
      <c r="B2" s="3">
        <v>78</v>
      </c>
    </row>
    <row r="3" spans="1:16" x14ac:dyDescent="0.35">
      <c r="A3" s="1" t="s">
        <v>34</v>
      </c>
      <c r="B3" s="3">
        <v>92</v>
      </c>
    </row>
    <row r="4" spans="1:16" x14ac:dyDescent="0.35">
      <c r="A4" t="s">
        <v>38</v>
      </c>
      <c r="B4" s="3">
        <f>AVERAGE(B1:B3)</f>
        <v>85</v>
      </c>
      <c r="C4" s="26">
        <v>0.35</v>
      </c>
      <c r="D4" s="27">
        <f>$B4*$C4</f>
        <v>29.749999999999996</v>
      </c>
      <c r="F4" s="26">
        <v>0.35</v>
      </c>
      <c r="G4" s="27">
        <f>$B4*$C4</f>
        <v>29.749999999999996</v>
      </c>
      <c r="I4" s="26">
        <v>0.35</v>
      </c>
      <c r="J4" s="27">
        <f>$B4*$C4</f>
        <v>29.749999999999996</v>
      </c>
      <c r="L4" s="26">
        <v>0.35</v>
      </c>
      <c r="M4" s="27">
        <f>$B4*$C4</f>
        <v>29.749999999999996</v>
      </c>
      <c r="O4" s="26">
        <v>0.35</v>
      </c>
      <c r="P4" s="27">
        <f>$B4*$C4</f>
        <v>29.749999999999996</v>
      </c>
    </row>
    <row r="5" spans="1:16" x14ac:dyDescent="0.35">
      <c r="A5" s="1" t="s">
        <v>35</v>
      </c>
      <c r="B5" s="3">
        <v>88</v>
      </c>
      <c r="C5" s="26">
        <v>0.25</v>
      </c>
      <c r="D5" s="27">
        <f>$B5*$C5</f>
        <v>22</v>
      </c>
      <c r="F5" s="26">
        <v>0.25</v>
      </c>
      <c r="G5" s="27">
        <f>$B5*$C5</f>
        <v>22</v>
      </c>
      <c r="I5" s="26">
        <v>0.25</v>
      </c>
      <c r="J5" s="27">
        <f>$B5*$C5</f>
        <v>22</v>
      </c>
      <c r="L5" s="26">
        <v>0.25</v>
      </c>
      <c r="M5" s="27">
        <f>$B5*$C5</f>
        <v>22</v>
      </c>
      <c r="O5" s="26">
        <v>0.25</v>
      </c>
      <c r="P5" s="27">
        <f>$B5*$C5</f>
        <v>22</v>
      </c>
    </row>
    <row r="6" spans="1:16" x14ac:dyDescent="0.35">
      <c r="A6" s="1" t="s">
        <v>36</v>
      </c>
      <c r="B6" s="3">
        <v>95</v>
      </c>
      <c r="C6" s="26">
        <v>0.1</v>
      </c>
      <c r="D6" s="27">
        <f>$B6*$C6</f>
        <v>9.5</v>
      </c>
      <c r="F6" s="26">
        <v>0.1</v>
      </c>
      <c r="G6" s="27">
        <f>$B6*$C6</f>
        <v>9.5</v>
      </c>
      <c r="I6" s="26">
        <v>0.1</v>
      </c>
      <c r="J6" s="27">
        <f>$B6*$C6</f>
        <v>9.5</v>
      </c>
      <c r="L6" s="26">
        <v>0.1</v>
      </c>
      <c r="M6" s="27">
        <f>$B6*$C6</f>
        <v>9.5</v>
      </c>
      <c r="O6" s="26">
        <v>0.1</v>
      </c>
      <c r="P6" s="27">
        <f>$B6*$C6</f>
        <v>9.5</v>
      </c>
    </row>
    <row r="7" spans="1:16" x14ac:dyDescent="0.35">
      <c r="A7" s="7" t="s">
        <v>39</v>
      </c>
      <c r="B7" s="29">
        <f>D7*1/C7</f>
        <v>79.166666666666615</v>
      </c>
      <c r="C7" s="28">
        <v>0.3</v>
      </c>
      <c r="D7" s="27">
        <v>23.749999999999982</v>
      </c>
      <c r="F7" s="26">
        <v>0.3</v>
      </c>
      <c r="G7" s="27">
        <v>28.75</v>
      </c>
      <c r="I7" s="26">
        <v>0.3</v>
      </c>
      <c r="J7" s="27">
        <v>25.749999999999986</v>
      </c>
      <c r="L7" s="26">
        <v>0.3</v>
      </c>
      <c r="M7" s="27">
        <v>31.750000000000018</v>
      </c>
      <c r="O7" s="26">
        <v>0.3</v>
      </c>
      <c r="P7" s="27">
        <v>33.75</v>
      </c>
    </row>
    <row r="8" spans="1:16" x14ac:dyDescent="0.35">
      <c r="A8" s="7" t="s">
        <v>40</v>
      </c>
      <c r="B8" s="29">
        <f>G7*1/F7</f>
        <v>95.833333333333343</v>
      </c>
      <c r="C8" s="28"/>
      <c r="D8" s="27">
        <f>SUM($D4:$D7)</f>
        <v>84.999999999999986</v>
      </c>
      <c r="F8" s="26"/>
      <c r="G8" s="27">
        <f>SUM($G4:$G7)</f>
        <v>90</v>
      </c>
      <c r="I8" s="26"/>
      <c r="J8" s="27">
        <f>SUM($J4:$J7)</f>
        <v>86.999999999999986</v>
      </c>
      <c r="L8" s="26"/>
      <c r="M8" s="27">
        <f>SUM($M4:$M7)</f>
        <v>93.000000000000014</v>
      </c>
      <c r="O8" s="26"/>
      <c r="P8" s="27">
        <f>SUM($P4:$P7)</f>
        <v>95</v>
      </c>
    </row>
    <row r="9" spans="1:16" x14ac:dyDescent="0.35">
      <c r="A9" s="7" t="s">
        <v>48</v>
      </c>
      <c r="B9" s="3">
        <f>J7*1/I7</f>
        <v>85.833333333333286</v>
      </c>
      <c r="C9" s="24"/>
      <c r="F9" s="24"/>
      <c r="I9" s="24"/>
      <c r="L9" s="24"/>
    </row>
    <row r="10" spans="1:16" x14ac:dyDescent="0.35">
      <c r="A10" s="7" t="s">
        <v>47</v>
      </c>
      <c r="B10">
        <f>M7*1/L7</f>
        <v>105.8333333333334</v>
      </c>
      <c r="C10" s="24"/>
      <c r="D10">
        <v>268</v>
      </c>
    </row>
    <row r="12" spans="1:16" x14ac:dyDescent="0.35">
      <c r="L12" s="30"/>
    </row>
    <row r="13" spans="1:16" x14ac:dyDescent="0.35">
      <c r="A13" s="31" t="s">
        <v>41</v>
      </c>
      <c r="B13" s="34" t="s">
        <v>42</v>
      </c>
      <c r="C13" s="32"/>
      <c r="D13" s="32"/>
      <c r="E13" s="32"/>
      <c r="F13" s="32"/>
      <c r="G13" s="32"/>
      <c r="H13" s="32"/>
      <c r="I13" s="32"/>
      <c r="J13" s="32"/>
      <c r="K13" s="33"/>
    </row>
    <row r="15" spans="1:16" x14ac:dyDescent="0.35">
      <c r="A15" s="55" t="s">
        <v>45</v>
      </c>
      <c r="B15" s="55"/>
      <c r="C15" s="55"/>
      <c r="D15" s="55"/>
      <c r="E15" s="55"/>
    </row>
    <row r="16" spans="1:16" x14ac:dyDescent="0.35">
      <c r="A16" s="62" t="s">
        <v>43</v>
      </c>
      <c r="B16" s="62"/>
      <c r="C16" s="62"/>
      <c r="D16" s="62"/>
      <c r="E16" s="62"/>
    </row>
    <row r="18" spans="1:12" x14ac:dyDescent="0.35">
      <c r="A18" s="55" t="s">
        <v>44</v>
      </c>
      <c r="B18" s="55"/>
      <c r="C18" s="55"/>
      <c r="D18" s="55"/>
      <c r="E18" s="55"/>
      <c r="H18" s="1"/>
      <c r="I18" s="1">
        <v>80</v>
      </c>
      <c r="J18" s="1">
        <v>85</v>
      </c>
      <c r="K18" s="1">
        <v>90</v>
      </c>
      <c r="L18" s="1">
        <v>95</v>
      </c>
    </row>
    <row r="19" spans="1:12" x14ac:dyDescent="0.35">
      <c r="A19" s="55" t="s">
        <v>46</v>
      </c>
      <c r="B19" s="55"/>
      <c r="C19" s="55"/>
      <c r="D19" s="55"/>
      <c r="E19" s="55"/>
      <c r="H19" s="1">
        <v>268</v>
      </c>
      <c r="I19" s="1">
        <f>18.75*1/30%</f>
        <v>62.5</v>
      </c>
      <c r="J19" s="1">
        <f>23.75*1/30%</f>
        <v>79.166666666666671</v>
      </c>
      <c r="K19" s="1">
        <f>28.75*1/30%</f>
        <v>95.833333333333343</v>
      </c>
      <c r="L19" s="1">
        <f>33.75*1/30%</f>
        <v>112.5</v>
      </c>
    </row>
    <row r="20" spans="1:12" x14ac:dyDescent="0.35">
      <c r="H20" s="1"/>
      <c r="I20" s="1">
        <f>J19-I19</f>
        <v>16.666666666666671</v>
      </c>
      <c r="J20" s="1">
        <f>K19-J19</f>
        <v>16.666666666666671</v>
      </c>
      <c r="K20" s="1">
        <f>L19-K19</f>
        <v>16.666666666666657</v>
      </c>
      <c r="L20" s="1"/>
    </row>
    <row r="21" spans="1:12" x14ac:dyDescent="0.35">
      <c r="A21" s="55" t="s">
        <v>49</v>
      </c>
      <c r="B21" s="55"/>
      <c r="C21" s="55"/>
      <c r="D21" s="55"/>
      <c r="E21" s="55"/>
    </row>
    <row r="22" spans="1:12" x14ac:dyDescent="0.35">
      <c r="A22" s="61">
        <v>0.3</v>
      </c>
      <c r="B22" s="55"/>
      <c r="C22" s="55"/>
      <c r="D22" s="55"/>
      <c r="E22" s="55"/>
    </row>
  </sheetData>
  <mergeCells count="6">
    <mergeCell ref="A22:E22"/>
    <mergeCell ref="A19:E19"/>
    <mergeCell ref="A21:E21"/>
    <mergeCell ref="A18:E18"/>
    <mergeCell ref="A15:E15"/>
    <mergeCell ref="A16:E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C9AA-D897-468D-9F52-65F07ADAF8D0}">
  <dimension ref="A1:D24"/>
  <sheetViews>
    <sheetView workbookViewId="0">
      <selection activeCell="A22" sqref="A22"/>
    </sheetView>
  </sheetViews>
  <sheetFormatPr defaultRowHeight="14.5" x14ac:dyDescent="0.35"/>
  <cols>
    <col min="1" max="1" width="25.1796875" style="1" bestFit="1" customWidth="1"/>
    <col min="2" max="2" width="11.81640625" style="1" bestFit="1" customWidth="1"/>
    <col min="3" max="3" width="29.36328125" bestFit="1" customWidth="1"/>
    <col min="4" max="4" width="17" bestFit="1" customWidth="1"/>
    <col min="5" max="5" width="17.26953125" bestFit="1" customWidth="1"/>
    <col min="6" max="6" width="25.26953125" bestFit="1" customWidth="1"/>
    <col min="7" max="7" width="29.08984375" bestFit="1" customWidth="1"/>
  </cols>
  <sheetData>
    <row r="1" spans="1:4" x14ac:dyDescent="0.35">
      <c r="A1" s="1" t="s">
        <v>0</v>
      </c>
    </row>
    <row r="2" spans="1:4" x14ac:dyDescent="0.35">
      <c r="A2" s="1" t="s">
        <v>1</v>
      </c>
      <c r="B2" s="4">
        <v>8000</v>
      </c>
    </row>
    <row r="3" spans="1:4" x14ac:dyDescent="0.35">
      <c r="A3" s="1" t="s">
        <v>2</v>
      </c>
      <c r="B3" s="4">
        <v>45</v>
      </c>
    </row>
    <row r="4" spans="1:4" x14ac:dyDescent="0.35">
      <c r="A4" s="1" t="s">
        <v>3</v>
      </c>
      <c r="B4" s="4">
        <v>2500</v>
      </c>
    </row>
    <row r="5" spans="1:4" x14ac:dyDescent="0.35">
      <c r="A5" s="1" t="s">
        <v>4</v>
      </c>
      <c r="B5" s="4">
        <v>1500</v>
      </c>
      <c r="C5" s="8" t="s">
        <v>10</v>
      </c>
      <c r="D5" s="9">
        <v>45</v>
      </c>
    </row>
    <row r="6" spans="1:4" x14ac:dyDescent="0.35">
      <c r="A6" s="1" t="s">
        <v>5</v>
      </c>
      <c r="B6" s="1">
        <v>150</v>
      </c>
      <c r="C6" s="8" t="s">
        <v>11</v>
      </c>
      <c r="D6" s="9">
        <v>8000</v>
      </c>
    </row>
    <row r="7" spans="1:4" x14ac:dyDescent="0.35">
      <c r="A7" s="1" t="s">
        <v>6</v>
      </c>
      <c r="B7" s="5">
        <v>125</v>
      </c>
      <c r="C7" s="8" t="s">
        <v>12</v>
      </c>
      <c r="D7" s="9">
        <v>2500</v>
      </c>
    </row>
    <row r="8" spans="1:4" x14ac:dyDescent="0.35">
      <c r="C8" s="8" t="s">
        <v>13</v>
      </c>
      <c r="D8" s="9">
        <v>1500</v>
      </c>
    </row>
    <row r="9" spans="1:4" x14ac:dyDescent="0.35">
      <c r="A9" s="1" t="s">
        <v>8</v>
      </c>
      <c r="B9" s="1">
        <v>150</v>
      </c>
      <c r="C9" s="8" t="s">
        <v>7</v>
      </c>
      <c r="D9" s="9">
        <f>D$5*B$9</f>
        <v>6750</v>
      </c>
    </row>
    <row r="10" spans="1:4" x14ac:dyDescent="0.35">
      <c r="B10" s="2"/>
      <c r="C10" s="8" t="s">
        <v>9</v>
      </c>
      <c r="D10" s="10">
        <f>B$7*B$9</f>
        <v>18750</v>
      </c>
    </row>
    <row r="11" spans="1:4" x14ac:dyDescent="0.35">
      <c r="C11" s="8" t="str">
        <f>_xlfn.CONCAT("Total for ",B9," Attendees")</f>
        <v>Total for 150 Attendees</v>
      </c>
      <c r="D11" s="9">
        <f>SUM(D$6:D$10)</f>
        <v>37500</v>
      </c>
    </row>
    <row r="14" spans="1:4" x14ac:dyDescent="0.35">
      <c r="A14" s="59" t="s">
        <v>50</v>
      </c>
      <c r="B14" s="59"/>
      <c r="C14" s="59"/>
      <c r="D14" s="59"/>
    </row>
    <row r="15" spans="1:4" x14ac:dyDescent="0.35">
      <c r="A15" s="23"/>
      <c r="B15" s="57" t="s">
        <v>182</v>
      </c>
      <c r="C15" s="57"/>
      <c r="D15" s="57"/>
    </row>
    <row r="16" spans="1:4" x14ac:dyDescent="0.35">
      <c r="A16" s="23"/>
      <c r="B16" s="23"/>
      <c r="C16" s="23"/>
      <c r="D16" s="23"/>
    </row>
    <row r="17" spans="1:4" x14ac:dyDescent="0.35">
      <c r="A17" s="55" t="s">
        <v>51</v>
      </c>
      <c r="B17" s="55"/>
      <c r="C17" s="55"/>
      <c r="D17" s="55"/>
    </row>
    <row r="18" spans="1:4" ht="30" customHeight="1" x14ac:dyDescent="0.35">
      <c r="B18" s="59" t="s">
        <v>183</v>
      </c>
      <c r="C18" s="59"/>
      <c r="D18" s="59"/>
    </row>
    <row r="19" spans="1:4" x14ac:dyDescent="0.35">
      <c r="C19" s="1"/>
      <c r="D19" s="1"/>
    </row>
    <row r="20" spans="1:4" x14ac:dyDescent="0.35">
      <c r="A20" s="55" t="s">
        <v>52</v>
      </c>
      <c r="B20" s="55"/>
      <c r="C20" s="55"/>
      <c r="D20" s="55"/>
    </row>
    <row r="21" spans="1:4" ht="27.5" customHeight="1" x14ac:dyDescent="0.35">
      <c r="B21" s="63" t="s">
        <v>184</v>
      </c>
      <c r="C21" s="63"/>
      <c r="D21" s="63"/>
    </row>
    <row r="22" spans="1:4" x14ac:dyDescent="0.35">
      <c r="B22" s="4"/>
    </row>
    <row r="23" spans="1:4" x14ac:dyDescent="0.35">
      <c r="B23" s="5"/>
    </row>
    <row r="24" spans="1:4" x14ac:dyDescent="0.35">
      <c r="B24" s="4"/>
    </row>
  </sheetData>
  <scenarios current="1" show="1" sqref="A15">
    <scenario name="Conservative" locked="1" count="5" user="Raju" comment="Scenaro where the no. of attendees are 120, and Venue, Catering, Audio/Visual, Marketing costs increase by 10%.">
      <inputCells r="B9" val="120"/>
      <inputCells r="D5" val="49.5" numFmtId="165"/>
      <inputCells r="D6" val="8800" numFmtId="165"/>
      <inputCells r="D7" val="2750" numFmtId="165"/>
      <inputCells r="D8" val="1650" numFmtId="165"/>
    </scenario>
    <scenario name="Expected" locked="1" count="5" user="Raju" comment="Scenario for 150 attendees where there are no changes in the costs">
      <inputCells r="B9" val="150"/>
      <inputCells r="D5" val="45" numFmtId="165"/>
      <inputCells r="D6" val="8000" numFmtId="165"/>
      <inputCells r="D7" val="2500" numFmtId="165"/>
      <inputCells r="D8" val="1500" numFmtId="165"/>
    </scenario>
    <scenario name="Optimistic" locked="1" count="5" user="Raju" comment="Scenario where the attendees are 180, Venue, Catering, Audio/Visual, Marketing costs reduce by 15%.">
      <inputCells r="B9" val="180"/>
      <inputCells r="D5" val="38.25" numFmtId="165"/>
      <inputCells r="D6" val="6800" numFmtId="165"/>
      <inputCells r="D7" val="2125" numFmtId="165"/>
      <inputCells r="D8" val="1275" numFmtId="165"/>
    </scenario>
  </scenarios>
  <mergeCells count="6">
    <mergeCell ref="B21:D21"/>
    <mergeCell ref="A14:D14"/>
    <mergeCell ref="A17:D17"/>
    <mergeCell ref="A20:D20"/>
    <mergeCell ref="B15:D15"/>
    <mergeCell ref="B18: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A421-B726-438F-A0F2-BCAA8C2385F3}">
  <sheetPr>
    <outlinePr summaryBelow="0"/>
  </sheetPr>
  <dimension ref="B1:G15"/>
  <sheetViews>
    <sheetView showGridLines="0" workbookViewId="0"/>
  </sheetViews>
  <sheetFormatPr defaultRowHeight="14.5" outlineLevelRow="1" outlineLevelCol="1" x14ac:dyDescent="0.35"/>
  <cols>
    <col min="3" max="3" width="6" bestFit="1" customWidth="1"/>
    <col min="4" max="7" width="12.54296875" bestFit="1" customWidth="1" outlineLevel="1"/>
  </cols>
  <sheetData>
    <row r="1" spans="2:7" ht="15" thickBot="1" x14ac:dyDescent="0.4"/>
    <row r="2" spans="2:7" ht="15.5" x14ac:dyDescent="0.35">
      <c r="B2" s="13" t="s">
        <v>26</v>
      </c>
      <c r="C2" s="13"/>
      <c r="D2" s="18"/>
      <c r="E2" s="18"/>
      <c r="F2" s="18"/>
      <c r="G2" s="18"/>
    </row>
    <row r="3" spans="2:7" ht="15.5" collapsed="1" x14ac:dyDescent="0.35">
      <c r="B3" s="12"/>
      <c r="C3" s="12"/>
      <c r="D3" s="19" t="s">
        <v>28</v>
      </c>
      <c r="E3" s="19" t="s">
        <v>20</v>
      </c>
      <c r="F3" s="19" t="s">
        <v>22</v>
      </c>
      <c r="G3" s="19" t="s">
        <v>24</v>
      </c>
    </row>
    <row r="4" spans="2:7" ht="73.5" hidden="1" outlineLevel="1" x14ac:dyDescent="0.35">
      <c r="B4" s="15"/>
      <c r="C4" s="15"/>
      <c r="E4" s="22" t="s">
        <v>21</v>
      </c>
      <c r="F4" s="22" t="s">
        <v>23</v>
      </c>
      <c r="G4" s="22" t="s">
        <v>25</v>
      </c>
    </row>
    <row r="5" spans="2:7" x14ac:dyDescent="0.35">
      <c r="B5" s="16" t="s">
        <v>27</v>
      </c>
      <c r="C5" s="16"/>
      <c r="D5" s="14"/>
      <c r="E5" s="14"/>
      <c r="F5" s="14"/>
      <c r="G5" s="14"/>
    </row>
    <row r="6" spans="2:7" outlineLevel="1" x14ac:dyDescent="0.35">
      <c r="B6" s="15"/>
      <c r="C6" s="15" t="s">
        <v>14</v>
      </c>
      <c r="D6">
        <v>150</v>
      </c>
      <c r="E6" s="20">
        <v>120</v>
      </c>
      <c r="F6" s="20">
        <v>150</v>
      </c>
      <c r="G6" s="20">
        <v>180</v>
      </c>
    </row>
    <row r="7" spans="2:7" outlineLevel="1" x14ac:dyDescent="0.35">
      <c r="B7" s="15"/>
      <c r="C7" s="15" t="s">
        <v>15</v>
      </c>
      <c r="D7" s="6">
        <v>45</v>
      </c>
      <c r="E7" s="21">
        <v>49.5</v>
      </c>
      <c r="F7" s="21">
        <v>45</v>
      </c>
      <c r="G7" s="21">
        <v>38.25</v>
      </c>
    </row>
    <row r="8" spans="2:7" outlineLevel="1" x14ac:dyDescent="0.35">
      <c r="B8" s="15"/>
      <c r="C8" s="15" t="s">
        <v>16</v>
      </c>
      <c r="D8" s="6">
        <v>8000</v>
      </c>
      <c r="E8" s="21">
        <v>8800</v>
      </c>
      <c r="F8" s="21">
        <v>8000</v>
      </c>
      <c r="G8" s="21">
        <v>6800</v>
      </c>
    </row>
    <row r="9" spans="2:7" outlineLevel="1" x14ac:dyDescent="0.35">
      <c r="B9" s="15"/>
      <c r="C9" s="15" t="s">
        <v>17</v>
      </c>
      <c r="D9" s="6">
        <v>2500</v>
      </c>
      <c r="E9" s="21">
        <v>2750</v>
      </c>
      <c r="F9" s="21">
        <v>2500</v>
      </c>
      <c r="G9" s="21">
        <v>2125</v>
      </c>
    </row>
    <row r="10" spans="2:7" outlineLevel="1" x14ac:dyDescent="0.35">
      <c r="B10" s="15"/>
      <c r="C10" s="15" t="s">
        <v>18</v>
      </c>
      <c r="D10" s="6">
        <v>1500</v>
      </c>
      <c r="E10" s="21">
        <v>1650</v>
      </c>
      <c r="F10" s="21">
        <v>1500</v>
      </c>
      <c r="G10" s="21">
        <v>1275</v>
      </c>
    </row>
    <row r="11" spans="2:7" x14ac:dyDescent="0.35">
      <c r="B11" s="16" t="s">
        <v>29</v>
      </c>
      <c r="C11" s="16"/>
      <c r="D11" s="14"/>
      <c r="E11" s="14"/>
      <c r="F11" s="14"/>
      <c r="G11" s="14"/>
    </row>
    <row r="12" spans="2:7" ht="15" outlineLevel="1" thickBot="1" x14ac:dyDescent="0.4">
      <c r="B12" s="17"/>
      <c r="C12" s="17" t="s">
        <v>19</v>
      </c>
      <c r="D12" s="11"/>
      <c r="E12" s="11"/>
      <c r="F12" s="11"/>
      <c r="G12" s="11"/>
    </row>
    <row r="13" spans="2:7" x14ac:dyDescent="0.35">
      <c r="B13" t="s">
        <v>30</v>
      </c>
    </row>
    <row r="14" spans="2:7" x14ac:dyDescent="0.35">
      <c r="B14" t="s">
        <v>31</v>
      </c>
    </row>
    <row r="15" spans="2:7" x14ac:dyDescent="0.35">
      <c r="B15"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31733D-E6B1-4E77-A7FC-C1AF93FD99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Monthly Sales Performance</vt:lpstr>
      <vt:lpstr>Pizza Delivery Business</vt:lpstr>
      <vt:lpstr>Regression Pizza</vt:lpstr>
      <vt:lpstr>CoVariance_Stock</vt:lpstr>
      <vt:lpstr>Daily Website Traffic Analysis</vt:lpstr>
      <vt:lpstr>Scores_DecriptiveStats</vt:lpstr>
      <vt:lpstr>Academic Performance</vt:lpstr>
      <vt:lpstr>Event Planning Budget </vt:lpstr>
      <vt:lpstr>Scenario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Jayasree Simmanapudi</dc:creator>
  <cp:lastModifiedBy>Jayasree Simmanapudi</cp:lastModifiedBy>
  <dcterms:created xsi:type="dcterms:W3CDTF">2025-10-19T14:42:30Z</dcterms:created>
  <dcterms:modified xsi:type="dcterms:W3CDTF">2026-04-19T17:02:39Z</dcterms:modified>
</cp:coreProperties>
</file>